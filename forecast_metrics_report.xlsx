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y Store_Dept" sheetId="1" state="visible" r:id="rId1"/>
    <sheet name="Overall" sheetId="2" state="visible" r:id="rId2"/>
    <sheet name="Raw 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1" fontId="0" fillId="0" borderId="1" pivotButton="0" quotePrefix="0" xfId="0"/>
    <xf numFmtId="4" fontId="0" fillId="0" borderId="1" pivotButton="0" quotePrefix="0" xfId="0"/>
    <xf numFmtId="2" fontId="0" fillId="0" borderId="1" pivotButton="0" quotePrefix="0" xfId="0"/>
    <xf numFmtId="164" fontId="0" fillId="0" borderId="1" pivotButton="0" quotePrefix="0" xfId="0"/>
    <xf numFmtId="0" fontId="2" fillId="0" borderId="1" pivotButton="0" quotePrefix="0" xfId="0"/>
    <xf numFmtId="0" fontId="0" fillId="0" borderId="1" pivotButton="0" quotePrefix="0" xfId="0"/>
    <xf numFmtId="3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95" customWidth="1" min="3" max="3"/>
    <col width="199" customWidth="1" min="4" max="4"/>
    <col width="213" customWidth="1" min="5" max="5"/>
    <col width="195" customWidth="1" min="6" max="6"/>
  </cols>
  <sheetData>
    <row r="1">
      <c r="A1" s="1" t="inlineStr">
        <is>
          <t>Store</t>
        </is>
      </c>
      <c r="B1" s="1" t="inlineStr">
        <is>
          <t>Dept</t>
        </is>
      </c>
      <c r="C1" s="1" t="inlineStr">
        <is>
          <t>MAD</t>
        </is>
      </c>
      <c r="D1" s="1" t="inlineStr">
        <is>
          <t>MAPE</t>
        </is>
      </c>
      <c r="E1" s="1" t="inlineStr">
        <is>
          <t>Sales_to_Forecast_Ratio</t>
        </is>
      </c>
      <c r="F1" s="1" t="inlineStr">
        <is>
          <t>Forecast_Bias</t>
        </is>
      </c>
    </row>
    <row r="2">
      <c r="A2" s="2" t="n">
        <v>1</v>
      </c>
      <c r="B2" s="2" t="n">
        <v>1</v>
      </c>
      <c r="C2" s="3">
        <f>SUMPRODUCT(('Raw Data'!$A$2:191=1)*('Raw Data'!$B$2:191=1)*('Raw Data'!$F$2:191&lt;&gt;0)*'Raw Data'!$H$2:191)/SUMPRODUCT(('Raw Data'!$A$2:191=1)*('Raw Data'!$B$2:191=1)*('Raw Data'!$F$2:191&lt;&gt;0)*1)</f>
        <v/>
      </c>
      <c r="D2" s="4">
        <f>SUMPRODUCT(('Raw Data'!$A$2:191=1)*('Raw Data'!$B$2:191=1)*('Raw Data'!$F$2:191&lt;&gt;0)*'Raw Data'!$I$2:191)/SUMPRODUCT(('Raw Data'!$A$2:191=1)*('Raw Data'!$B$2:191=1)*('Raw Data'!$F$2:191&lt;&gt;0)*1)*100</f>
        <v/>
      </c>
      <c r="E2" s="5">
        <f>SUMPRODUCT(('Raw Data'!$A$2:191=1)*('Raw Data'!$B$2:191=1)*('Raw Data'!$F$2:191&lt;&gt;0)*'Raw Data'!$F$2:191)/SUMPRODUCT(('Raw Data'!$A$2:191=1)*('Raw Data'!$B$2:191=1)*('Raw Data'!$F$2:191&lt;&gt;0)*'Raw Data'!$E$2:191)</f>
        <v/>
      </c>
      <c r="F2" s="3">
        <f>SUMPRODUCT(('Raw Data'!$A$2:191=1)*('Raw Data'!$B$2:191=1)*('Raw Data'!$F$2:191&lt;&gt;0)*'Raw Data'!$G$2:191)/SUMPRODUCT(('Raw Data'!$A$2:191=1)*('Raw Data'!$B$2:191=1)*('Raw Data'!$F$2:191&lt;&gt;0)*1)</f>
        <v/>
      </c>
    </row>
    <row r="3">
      <c r="A3" s="2" t="n">
        <v>1</v>
      </c>
      <c r="B3" s="2" t="n">
        <v>2</v>
      </c>
      <c r="C3" s="3">
        <f>SUMPRODUCT(('Raw Data'!$A$2:191=1)*('Raw Data'!$B$2:191=2)*('Raw Data'!$F$2:191&lt;&gt;0)*'Raw Data'!$H$2:191)/SUMPRODUCT(('Raw Data'!$A$2:191=1)*('Raw Data'!$B$2:191=2)*('Raw Data'!$F$2:191&lt;&gt;0)*1)</f>
        <v/>
      </c>
      <c r="D3" s="4">
        <f>SUMPRODUCT(('Raw Data'!$A$2:191=1)*('Raw Data'!$B$2:191=2)*('Raw Data'!$F$2:191&lt;&gt;0)*'Raw Data'!$I$2:191)/SUMPRODUCT(('Raw Data'!$A$2:191=1)*('Raw Data'!$B$2:191=2)*('Raw Data'!$F$2:191&lt;&gt;0)*1)*100</f>
        <v/>
      </c>
      <c r="E3" s="5">
        <f>SUMPRODUCT(('Raw Data'!$A$2:191=1)*('Raw Data'!$B$2:191=2)*('Raw Data'!$F$2:191&lt;&gt;0)*'Raw Data'!$F$2:191)/SUMPRODUCT(('Raw Data'!$A$2:191=1)*('Raw Data'!$B$2:191=2)*('Raw Data'!$F$2:191&lt;&gt;0)*'Raw Data'!$E$2:191)</f>
        <v/>
      </c>
      <c r="F3" s="3">
        <f>SUMPRODUCT(('Raw Data'!$A$2:191=1)*('Raw Data'!$B$2:191=2)*('Raw Data'!$F$2:191&lt;&gt;0)*'Raw Data'!$G$2:191)/SUMPRODUCT(('Raw Data'!$A$2:191=1)*('Raw Data'!$B$2:191=2)*('Raw Data'!$F$2:191&lt;&gt;0)*1)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17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6" t="inlineStr">
        <is>
          <t>MAD</t>
        </is>
      </c>
      <c r="B2" s="3">
        <f>SUMPRODUCT(('Raw Data'!$F$2:191&lt;&gt;0)*'Raw Data'!$H$2:191)/SUMPRODUCT(('Raw Data'!$F$2:191&lt;&gt;0)*1)</f>
        <v/>
      </c>
    </row>
    <row r="3">
      <c r="A3" s="6" t="inlineStr">
        <is>
          <t>MAPE</t>
        </is>
      </c>
      <c r="B3" s="4">
        <f>SUMPRODUCT(('Raw Data'!$F$2:191&lt;&gt;0)*'Raw Data'!$I$2:191)/SUMPRODUCT(('Raw Data'!$F$2:191&lt;&gt;0)*1)*100</f>
        <v/>
      </c>
    </row>
    <row r="4">
      <c r="A4" s="6" t="inlineStr">
        <is>
          <t>Sales-to-Forecast Ratio</t>
        </is>
      </c>
      <c r="B4" s="5">
        <f>SUMPRODUCT(('Raw Data'!$F$2:191&lt;&gt;0)*'Raw Data'!$F$2:191)/SUMPRODUCT(('Raw Data'!$F$2:191&lt;&gt;0)*'Raw Data'!$E$2:191)</f>
        <v/>
      </c>
    </row>
    <row r="5">
      <c r="A5" s="6" t="inlineStr">
        <is>
          <t>Forecast Bias</t>
        </is>
      </c>
      <c r="B5" s="3">
        <f>SUMPRODUCT(('Raw Data'!$F$2:191&lt;&gt;0)*'Raw Data'!$G$2:191)/SUMPRODUCT(('Raw Data'!$F$2:191&lt;&gt;0)*1)</f>
        <v/>
      </c>
    </row>
    <row r="6">
      <c r="A6" s="7" t="n"/>
      <c r="B6" s="7" t="n"/>
    </row>
    <row r="7">
      <c r="A7" s="6" t="inlineStr">
        <is>
          <t>Total Records</t>
        </is>
      </c>
      <c r="B7" s="8">
        <f>COUNTA('Raw Data'!$A$2:191)</f>
        <v/>
      </c>
    </row>
    <row r="8">
      <c r="A8" s="6" t="inlineStr">
        <is>
          <t>Records Used (non-zero sales)</t>
        </is>
      </c>
      <c r="B8" s="8">
        <f>SUMPRODUCT(('Raw Data'!$F$2:191&lt;&gt;0)*1)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21" customWidth="1" min="5" max="5"/>
    <col width="15" customWidth="1" min="6" max="6"/>
    <col width="13" customWidth="1" min="7" max="7"/>
    <col width="17" customWidth="1" min="8" max="8"/>
    <col width="35" customWidth="1" min="9" max="9"/>
  </cols>
  <sheetData>
    <row r="1">
      <c r="A1" s="1" t="inlineStr">
        <is>
          <t>store</t>
        </is>
      </c>
      <c r="B1" s="1" t="inlineStr">
        <is>
          <t>dept</t>
        </is>
      </c>
      <c r="C1" s="1" t="inlineStr">
        <is>
          <t>year</t>
        </is>
      </c>
      <c r="D1" s="1" t="inlineStr">
        <is>
          <t>week</t>
        </is>
      </c>
      <c r="E1" s="1" t="inlineStr">
        <is>
          <t>forecast</t>
        </is>
      </c>
      <c r="F1" s="1" t="inlineStr">
        <is>
          <t>weekly_sales</t>
        </is>
      </c>
      <c r="G1" s="1" t="inlineStr">
        <is>
          <t>Error</t>
        </is>
      </c>
      <c r="H1" s="1" t="inlineStr">
        <is>
          <t>Absolute_Error</t>
        </is>
      </c>
      <c r="I1" s="1" t="inlineStr">
        <is>
          <t>APE</t>
        </is>
      </c>
    </row>
    <row r="2">
      <c r="A2" s="2" t="n">
        <v>1</v>
      </c>
      <c r="B2" s="2" t="n">
        <v>1</v>
      </c>
      <c r="C2" s="2" t="n">
        <v>1</v>
      </c>
      <c r="D2" s="2" t="n">
        <v>1</v>
      </c>
      <c r="E2" s="3" t="n">
        <v>31177.2796560667</v>
      </c>
      <c r="F2" s="3" t="n">
        <v>15984.24</v>
      </c>
      <c r="G2" s="3">
        <f>F2-E2</f>
        <v/>
      </c>
      <c r="H2" s="3">
        <f>ABS(G2)</f>
        <v/>
      </c>
      <c r="I2" s="4">
        <f>IF(F2=0,"N/A",H2/ABS(F2))</f>
        <v/>
      </c>
    </row>
    <row r="3">
      <c r="A3" s="2" t="n">
        <v>1</v>
      </c>
      <c r="B3" s="2" t="n">
        <v>1</v>
      </c>
      <c r="C3" s="2" t="n">
        <v>1</v>
      </c>
      <c r="D3" s="2" t="n">
        <v>2</v>
      </c>
      <c r="E3" s="3" t="n">
        <v>28138.67172485336</v>
      </c>
      <c r="F3" s="3" t="n">
        <v>17359.7</v>
      </c>
      <c r="G3" s="3">
        <f>F3-E3</f>
        <v/>
      </c>
      <c r="H3" s="3">
        <f>ABS(G3)</f>
        <v/>
      </c>
      <c r="I3" s="4">
        <f>IF(F3=0,"N/A",H3/ABS(F3))</f>
        <v/>
      </c>
    </row>
    <row r="4">
      <c r="A4" s="2" t="n">
        <v>1</v>
      </c>
      <c r="B4" s="2" t="n">
        <v>1</v>
      </c>
      <c r="C4" s="2" t="n">
        <v>1</v>
      </c>
      <c r="D4" s="2" t="n">
        <v>3</v>
      </c>
      <c r="E4" s="3" t="n">
        <v>25982.87737988269</v>
      </c>
      <c r="F4" s="3" t="n">
        <v>17341.47</v>
      </c>
      <c r="G4" s="3">
        <f>F4-E4</f>
        <v/>
      </c>
      <c r="H4" s="3">
        <f>ABS(G4)</f>
        <v/>
      </c>
      <c r="I4" s="4">
        <f>IF(F4=0,"N/A",H4/ABS(F4))</f>
        <v/>
      </c>
    </row>
    <row r="5">
      <c r="A5" s="2" t="n">
        <v>1</v>
      </c>
      <c r="B5" s="2" t="n">
        <v>1</v>
      </c>
      <c r="C5" s="2" t="n">
        <v>1</v>
      </c>
      <c r="D5" s="2" t="n">
        <v>4</v>
      </c>
      <c r="E5" s="3" t="n">
        <v>24254.59590390615</v>
      </c>
      <c r="F5" s="3" t="n">
        <v>18461.18</v>
      </c>
      <c r="G5" s="3">
        <f>F5-E5</f>
        <v/>
      </c>
      <c r="H5" s="3">
        <f>ABS(G5)</f>
        <v/>
      </c>
      <c r="I5" s="4">
        <f>IF(F5=0,"N/A",H5/ABS(F5))</f>
        <v/>
      </c>
    </row>
    <row r="6">
      <c r="A6" s="2" t="n">
        <v>1</v>
      </c>
      <c r="B6" s="2" t="n">
        <v>1</v>
      </c>
      <c r="C6" s="2" t="n">
        <v>1</v>
      </c>
      <c r="D6" s="2" t="n">
        <v>5</v>
      </c>
      <c r="E6" s="3" t="n">
        <v>23095.91272312492</v>
      </c>
      <c r="F6" s="3" t="n">
        <v>21665.76</v>
      </c>
      <c r="G6" s="3">
        <f>F6-E6</f>
        <v/>
      </c>
      <c r="H6" s="3">
        <f>ABS(G6)</f>
        <v/>
      </c>
      <c r="I6" s="4">
        <f>IF(F6=0,"N/A",H6/ABS(F6))</f>
        <v/>
      </c>
    </row>
    <row r="7">
      <c r="A7" s="2" t="n">
        <v>1</v>
      </c>
      <c r="B7" s="2" t="n">
        <v>1</v>
      </c>
      <c r="C7" s="2" t="n">
        <v>1</v>
      </c>
      <c r="D7" s="2" t="n">
        <v>6</v>
      </c>
      <c r="E7" s="3" t="n">
        <v>22809.88217849994</v>
      </c>
      <c r="F7" s="3" t="n">
        <v>37887.17</v>
      </c>
      <c r="G7" s="3">
        <f>F7-E7</f>
        <v/>
      </c>
      <c r="H7" s="3">
        <f>ABS(G7)</f>
        <v/>
      </c>
      <c r="I7" s="4">
        <f>IF(F7=0,"N/A",H7/ABS(F7))</f>
        <v/>
      </c>
    </row>
    <row r="8">
      <c r="A8" s="2" t="n">
        <v>1</v>
      </c>
      <c r="B8" s="2" t="n">
        <v>1</v>
      </c>
      <c r="C8" s="2" t="n">
        <v>1</v>
      </c>
      <c r="D8" s="2" t="n">
        <v>7</v>
      </c>
      <c r="E8" s="3" t="n">
        <v>25825.33974279995</v>
      </c>
      <c r="F8" s="3" t="n">
        <v>46845.87</v>
      </c>
      <c r="G8" s="3">
        <f>F8-E8</f>
        <v/>
      </c>
      <c r="H8" s="3">
        <f>ABS(G8)</f>
        <v/>
      </c>
      <c r="I8" s="4">
        <f>IF(F8=0,"N/A",H8/ABS(F8))</f>
        <v/>
      </c>
    </row>
    <row r="9">
      <c r="A9" s="2" t="n">
        <v>1</v>
      </c>
      <c r="B9" s="2" t="n">
        <v>1</v>
      </c>
      <c r="C9" s="2" t="n">
        <v>1</v>
      </c>
      <c r="D9" s="2" t="n">
        <v>8</v>
      </c>
      <c r="E9" s="3" t="n">
        <v>30029.44579423996</v>
      </c>
      <c r="F9" s="3" t="n">
        <v>19363.83</v>
      </c>
      <c r="G9" s="3">
        <f>F9-E9</f>
        <v/>
      </c>
      <c r="H9" s="3">
        <f>ABS(G9)</f>
        <v/>
      </c>
      <c r="I9" s="4">
        <f>IF(F9=0,"N/A",H9/ABS(F9))</f>
        <v/>
      </c>
    </row>
    <row r="10">
      <c r="A10" s="2" t="n">
        <v>1</v>
      </c>
      <c r="B10" s="2" t="n">
        <v>1</v>
      </c>
      <c r="C10" s="2" t="n">
        <v>1</v>
      </c>
      <c r="D10" s="2" t="n">
        <v>9</v>
      </c>
      <c r="E10" s="3" t="n">
        <v>27896.32263539197</v>
      </c>
      <c r="F10" s="3" t="n">
        <v>20327.61</v>
      </c>
      <c r="G10" s="3">
        <f>F10-E10</f>
        <v/>
      </c>
      <c r="H10" s="3">
        <f>ABS(G10)</f>
        <v/>
      </c>
      <c r="I10" s="4">
        <f>IF(F10=0,"N/A",H10/ABS(F10))</f>
        <v/>
      </c>
    </row>
    <row r="11">
      <c r="A11" s="2" t="n">
        <v>1</v>
      </c>
      <c r="B11" s="2" t="n">
        <v>1</v>
      </c>
      <c r="C11" s="2" t="n">
        <v>1</v>
      </c>
      <c r="D11" s="2" t="n">
        <v>10</v>
      </c>
      <c r="E11" s="3" t="n">
        <v>26382.58010831358</v>
      </c>
      <c r="F11" s="3" t="n">
        <v>21280.4</v>
      </c>
      <c r="G11" s="3">
        <f>F11-E11</f>
        <v/>
      </c>
      <c r="H11" s="3">
        <f>ABS(G11)</f>
        <v/>
      </c>
      <c r="I11" s="4">
        <f>IF(F11=0,"N/A",H11/ABS(F11))</f>
        <v/>
      </c>
    </row>
    <row r="12">
      <c r="A12" s="2" t="n">
        <v>1</v>
      </c>
      <c r="B12" s="2" t="n">
        <v>1</v>
      </c>
      <c r="C12" s="2" t="n">
        <v>1</v>
      </c>
      <c r="D12" s="2" t="n">
        <v>11</v>
      </c>
      <c r="E12" s="3" t="n">
        <v>25362.14408665086</v>
      </c>
      <c r="F12" s="3" t="n">
        <v>20334.23</v>
      </c>
      <c r="G12" s="3">
        <f>F12-E12</f>
        <v/>
      </c>
      <c r="H12" s="3">
        <f>ABS(G12)</f>
        <v/>
      </c>
      <c r="I12" s="4">
        <f>IF(F12=0,"N/A",H12/ABS(F12))</f>
        <v/>
      </c>
    </row>
    <row r="13">
      <c r="A13" s="2" t="n">
        <v>1</v>
      </c>
      <c r="B13" s="2" t="n">
        <v>1</v>
      </c>
      <c r="C13" s="2" t="n">
        <v>1</v>
      </c>
      <c r="D13" s="2" t="n">
        <v>12</v>
      </c>
      <c r="E13" s="3" t="n">
        <v>24356.56126932069</v>
      </c>
      <c r="F13" s="3" t="n">
        <v>20881.1</v>
      </c>
      <c r="G13" s="3">
        <f>F13-E13</f>
        <v/>
      </c>
      <c r="H13" s="3">
        <f>ABS(G13)</f>
        <v/>
      </c>
      <c r="I13" s="4">
        <f>IF(F13=0,"N/A",H13/ABS(F13))</f>
        <v/>
      </c>
    </row>
    <row r="14">
      <c r="A14" s="2" t="n">
        <v>1</v>
      </c>
      <c r="B14" s="2" t="n">
        <v>1</v>
      </c>
      <c r="C14" s="2" t="n">
        <v>1</v>
      </c>
      <c r="D14" s="2" t="n">
        <v>13</v>
      </c>
      <c r="E14" s="3" t="n">
        <v>23661.46901545656</v>
      </c>
      <c r="F14" s="3" t="n">
        <v>20398.09</v>
      </c>
      <c r="G14" s="3">
        <f>F14-E14</f>
        <v/>
      </c>
      <c r="H14" s="3">
        <f>ABS(G14)</f>
        <v/>
      </c>
      <c r="I14" s="4">
        <f>IF(F14=0,"N/A",H14/ABS(F14))</f>
        <v/>
      </c>
    </row>
    <row r="15">
      <c r="A15" s="2" t="n">
        <v>1</v>
      </c>
      <c r="B15" s="2" t="n">
        <v>1</v>
      </c>
      <c r="C15" s="2" t="n">
        <v>1</v>
      </c>
      <c r="D15" s="2" t="n">
        <v>14</v>
      </c>
      <c r="E15" s="3" t="n">
        <v>23008.79321236525</v>
      </c>
      <c r="F15" s="3" t="n">
        <v>23873.79</v>
      </c>
      <c r="G15" s="3">
        <f>F15-E15</f>
        <v/>
      </c>
      <c r="H15" s="3">
        <f>ABS(G15)</f>
        <v/>
      </c>
      <c r="I15" s="4">
        <f>IF(F15=0,"N/A",H15/ABS(F15))</f>
        <v/>
      </c>
    </row>
    <row r="16">
      <c r="A16" s="2" t="n">
        <v>1</v>
      </c>
      <c r="B16" s="2" t="n">
        <v>1</v>
      </c>
      <c r="C16" s="2" t="n">
        <v>1</v>
      </c>
      <c r="D16" s="2" t="n">
        <v>15</v>
      </c>
      <c r="E16" s="3" t="n">
        <v>23181.7925698922</v>
      </c>
      <c r="F16" s="3" t="n">
        <v>28762.37</v>
      </c>
      <c r="G16" s="3">
        <f>F16-E16</f>
        <v/>
      </c>
      <c r="H16" s="3">
        <f>ABS(G16)</f>
        <v/>
      </c>
      <c r="I16" s="4">
        <f>IF(F16=0,"N/A",H16/ABS(F16))</f>
        <v/>
      </c>
    </row>
    <row r="17">
      <c r="A17" s="2" t="n">
        <v>1</v>
      </c>
      <c r="B17" s="2" t="n">
        <v>1</v>
      </c>
      <c r="C17" s="2" t="n">
        <v>1</v>
      </c>
      <c r="D17" s="2" t="n">
        <v>16</v>
      </c>
      <c r="E17" s="3" t="n">
        <v>24297.90805591376</v>
      </c>
      <c r="F17" s="3" t="n">
        <v>50510.31</v>
      </c>
      <c r="G17" s="3">
        <f>F17-E17</f>
        <v/>
      </c>
      <c r="H17" s="3">
        <f>ABS(G17)</f>
        <v/>
      </c>
      <c r="I17" s="4">
        <f>IF(F17=0,"N/A",H17/ABS(F17))</f>
        <v/>
      </c>
    </row>
    <row r="18">
      <c r="A18" s="2" t="n">
        <v>1</v>
      </c>
      <c r="B18" s="2" t="n">
        <v>1</v>
      </c>
      <c r="C18" s="2" t="n">
        <v>1</v>
      </c>
      <c r="D18" s="2" t="n">
        <v>17</v>
      </c>
      <c r="E18" s="3" t="n">
        <v>29540.388444731</v>
      </c>
      <c r="F18" s="3" t="n">
        <v>41512.39</v>
      </c>
      <c r="G18" s="3">
        <f>F18-E18</f>
        <v/>
      </c>
      <c r="H18" s="3">
        <f>ABS(G18)</f>
        <v/>
      </c>
      <c r="I18" s="4">
        <f>IF(F18=0,"N/A",H18/ABS(F18))</f>
        <v/>
      </c>
    </row>
    <row r="19">
      <c r="A19" s="2" t="n">
        <v>1</v>
      </c>
      <c r="B19" s="2" t="n">
        <v>1</v>
      </c>
      <c r="C19" s="2" t="n">
        <v>1</v>
      </c>
      <c r="D19" s="2" t="n">
        <v>18</v>
      </c>
      <c r="E19" s="3" t="n">
        <v>31934.78875578481</v>
      </c>
      <c r="F19" s="3" t="n">
        <v>20138.19</v>
      </c>
      <c r="G19" s="3">
        <f>F19-E19</f>
        <v/>
      </c>
      <c r="H19" s="3">
        <f>ABS(G19)</f>
        <v/>
      </c>
      <c r="I19" s="4">
        <f>IF(F19=0,"N/A",H19/ABS(F19))</f>
        <v/>
      </c>
    </row>
    <row r="20">
      <c r="A20" s="2" t="n">
        <v>1</v>
      </c>
      <c r="B20" s="2" t="n">
        <v>1</v>
      </c>
      <c r="C20" s="2" t="n">
        <v>1</v>
      </c>
      <c r="D20" s="2" t="n">
        <v>19</v>
      </c>
      <c r="E20" s="3" t="n">
        <v>29575.46900462785</v>
      </c>
      <c r="F20" s="3" t="n">
        <v>17235.15</v>
      </c>
      <c r="G20" s="3">
        <f>F20-E20</f>
        <v/>
      </c>
      <c r="H20" s="3">
        <f>ABS(G20)</f>
        <v/>
      </c>
      <c r="I20" s="4">
        <f>IF(F20=0,"N/A",H20/ABS(F20))</f>
        <v/>
      </c>
    </row>
    <row r="21">
      <c r="A21" s="2" t="n">
        <v>1</v>
      </c>
      <c r="B21" s="2" t="n">
        <v>1</v>
      </c>
      <c r="C21" s="2" t="n">
        <v>1</v>
      </c>
      <c r="D21" s="2" t="n">
        <v>20</v>
      </c>
      <c r="E21" s="3" t="n">
        <v>27107.40520370228</v>
      </c>
      <c r="F21" s="3" t="n">
        <v>15136.78</v>
      </c>
      <c r="G21" s="3">
        <f>F21-E21</f>
        <v/>
      </c>
      <c r="H21" s="3">
        <f>ABS(G21)</f>
        <v/>
      </c>
      <c r="I21" s="4">
        <f>IF(F21=0,"N/A",H21/ABS(F21))</f>
        <v/>
      </c>
    </row>
    <row r="22">
      <c r="A22" s="2" t="n">
        <v>1</v>
      </c>
      <c r="B22" s="2" t="n">
        <v>1</v>
      </c>
      <c r="C22" s="2" t="n">
        <v>1</v>
      </c>
      <c r="D22" s="2" t="n">
        <v>21</v>
      </c>
      <c r="E22" s="3" t="n">
        <v>24713.28016296182</v>
      </c>
      <c r="F22" s="3" t="n">
        <v>15741.6</v>
      </c>
      <c r="G22" s="3">
        <f>F22-E22</f>
        <v/>
      </c>
      <c r="H22" s="3">
        <f>ABS(G22)</f>
        <v/>
      </c>
      <c r="I22" s="4">
        <f>IF(F22=0,"N/A",H22/ABS(F22))</f>
        <v/>
      </c>
    </row>
    <row r="23">
      <c r="A23" s="2" t="n">
        <v>1</v>
      </c>
      <c r="B23" s="2" t="n">
        <v>1</v>
      </c>
      <c r="C23" s="2" t="n">
        <v>1</v>
      </c>
      <c r="D23" s="2" t="n">
        <v>22</v>
      </c>
      <c r="E23" s="3" t="n">
        <v>22918.94413036946</v>
      </c>
      <c r="F23" s="3" t="n">
        <v>16434.15</v>
      </c>
      <c r="G23" s="3">
        <f>F23-E23</f>
        <v/>
      </c>
      <c r="H23" s="3">
        <f>ABS(G23)</f>
        <v/>
      </c>
      <c r="I23" s="4">
        <f>IF(F23=0,"N/A",H23/ABS(F23))</f>
        <v/>
      </c>
    </row>
    <row r="24">
      <c r="A24" s="2" t="n">
        <v>1</v>
      </c>
      <c r="B24" s="2" t="n">
        <v>1</v>
      </c>
      <c r="C24" s="2" t="n">
        <v>1</v>
      </c>
      <c r="D24" s="2" t="n">
        <v>23</v>
      </c>
      <c r="E24" s="3" t="n">
        <v>21621.98530429557</v>
      </c>
      <c r="F24" s="3" t="n">
        <v>15883.52</v>
      </c>
      <c r="G24" s="3">
        <f>F24-E24</f>
        <v/>
      </c>
      <c r="H24" s="3">
        <f>ABS(G24)</f>
        <v/>
      </c>
      <c r="I24" s="4">
        <f>IF(F24=0,"N/A",H24/ABS(F24))</f>
        <v/>
      </c>
    </row>
    <row r="25">
      <c r="A25" s="2" t="n">
        <v>1</v>
      </c>
      <c r="B25" s="2" t="n">
        <v>1</v>
      </c>
      <c r="C25" s="2" t="n">
        <v>1</v>
      </c>
      <c r="D25" s="2" t="n">
        <v>24</v>
      </c>
      <c r="E25" s="3" t="n">
        <v>20474.29224343646</v>
      </c>
      <c r="F25" s="3" t="n">
        <v>14978.09</v>
      </c>
      <c r="G25" s="3">
        <f>F25-E25</f>
        <v/>
      </c>
      <c r="H25" s="3">
        <f>ABS(G25)</f>
        <v/>
      </c>
      <c r="I25" s="4">
        <f>IF(F25=0,"N/A",H25/ABS(F25))</f>
        <v/>
      </c>
    </row>
    <row r="26">
      <c r="A26" s="2" t="n">
        <v>1</v>
      </c>
      <c r="B26" s="2" t="n">
        <v>1</v>
      </c>
      <c r="C26" s="2" t="n">
        <v>1</v>
      </c>
      <c r="D26" s="2" t="n">
        <v>25</v>
      </c>
      <c r="E26" s="3" t="n">
        <v>19375.05179474917</v>
      </c>
      <c r="F26" s="3" t="n">
        <v>15682.81</v>
      </c>
      <c r="G26" s="3">
        <f>F26-E26</f>
        <v/>
      </c>
      <c r="H26" s="3">
        <f>ABS(G26)</f>
        <v/>
      </c>
      <c r="I26" s="4">
        <f>IF(F26=0,"N/A",H26/ABS(F26))</f>
        <v/>
      </c>
    </row>
    <row r="27">
      <c r="A27" s="2" t="n">
        <v>1</v>
      </c>
      <c r="B27" s="2" t="n">
        <v>1</v>
      </c>
      <c r="C27" s="2" t="n">
        <v>1</v>
      </c>
      <c r="D27" s="2" t="n">
        <v>26</v>
      </c>
      <c r="E27" s="3" t="n">
        <v>18636.60343579933</v>
      </c>
      <c r="F27" s="3" t="n">
        <v>15363.5</v>
      </c>
      <c r="G27" s="3">
        <f>F27-E27</f>
        <v/>
      </c>
      <c r="H27" s="3">
        <f>ABS(G27)</f>
        <v/>
      </c>
      <c r="I27" s="4">
        <f>IF(F27=0,"N/A",H27/ABS(F27))</f>
        <v/>
      </c>
    </row>
    <row r="28">
      <c r="A28" s="2" t="n">
        <v>1</v>
      </c>
      <c r="B28" s="2" t="n">
        <v>1</v>
      </c>
      <c r="C28" s="2" t="n">
        <v>1</v>
      </c>
      <c r="D28" s="2" t="n">
        <v>27</v>
      </c>
      <c r="E28" s="3" t="n">
        <v>17981.98274863947</v>
      </c>
      <c r="F28" s="3" t="n">
        <v>16148.87</v>
      </c>
      <c r="G28" s="3">
        <f>F28-E28</f>
        <v/>
      </c>
      <c r="H28" s="3">
        <f>ABS(G28)</f>
        <v/>
      </c>
      <c r="I28" s="4">
        <f>IF(F28=0,"N/A",H28/ABS(F28))</f>
        <v/>
      </c>
    </row>
    <row r="29">
      <c r="A29" s="2" t="n">
        <v>1</v>
      </c>
      <c r="B29" s="2" t="n">
        <v>1</v>
      </c>
      <c r="C29" s="2" t="n">
        <v>1</v>
      </c>
      <c r="D29" s="2" t="n">
        <v>28</v>
      </c>
      <c r="E29" s="3" t="n">
        <v>17615.36019891157</v>
      </c>
      <c r="F29" s="3" t="n">
        <v>15654.85</v>
      </c>
      <c r="G29" s="3">
        <f>F29-E29</f>
        <v/>
      </c>
      <c r="H29" s="3">
        <f>ABS(G29)</f>
        <v/>
      </c>
      <c r="I29" s="4">
        <f>IF(F29=0,"N/A",H29/ABS(F29))</f>
        <v/>
      </c>
    </row>
    <row r="30">
      <c r="A30" s="2" t="n">
        <v>1</v>
      </c>
      <c r="B30" s="2" t="n">
        <v>1</v>
      </c>
      <c r="C30" s="2" t="n">
        <v>1</v>
      </c>
      <c r="D30" s="2" t="n">
        <v>29</v>
      </c>
      <c r="E30" s="3" t="n">
        <v>17223.25815912926</v>
      </c>
      <c r="F30" s="3" t="n">
        <v>15766.6</v>
      </c>
      <c r="G30" s="3">
        <f>F30-E30</f>
        <v/>
      </c>
      <c r="H30" s="3">
        <f>ABS(G30)</f>
        <v/>
      </c>
      <c r="I30" s="4">
        <f>IF(F30=0,"N/A",H30/ABS(F30))</f>
        <v/>
      </c>
    </row>
    <row r="31">
      <c r="A31" s="2" t="n">
        <v>1</v>
      </c>
      <c r="B31" s="2" t="n">
        <v>1</v>
      </c>
      <c r="C31" s="2" t="n">
        <v>1</v>
      </c>
      <c r="D31" s="2" t="n">
        <v>30</v>
      </c>
      <c r="E31" s="3" t="n">
        <v>16931.92652730341</v>
      </c>
      <c r="F31" s="3" t="n">
        <v>15922.41</v>
      </c>
      <c r="G31" s="3">
        <f>F31-E31</f>
        <v/>
      </c>
      <c r="H31" s="3">
        <f>ABS(G31)</f>
        <v/>
      </c>
      <c r="I31" s="4">
        <f>IF(F31=0,"N/A",H31/ABS(F31))</f>
        <v/>
      </c>
    </row>
    <row r="32">
      <c r="A32" s="2" t="n">
        <v>1</v>
      </c>
      <c r="B32" s="2" t="n">
        <v>1</v>
      </c>
      <c r="C32" s="2" t="n">
        <v>1</v>
      </c>
      <c r="D32" s="2" t="n">
        <v>31</v>
      </c>
      <c r="E32" s="3" t="n">
        <v>16730.02322184273</v>
      </c>
      <c r="F32" s="3" t="n">
        <v>15295.55</v>
      </c>
      <c r="G32" s="3">
        <f>F32-E32</f>
        <v/>
      </c>
      <c r="H32" s="3">
        <f>ABS(G32)</f>
        <v/>
      </c>
      <c r="I32" s="4">
        <f>IF(F32=0,"N/A",H32/ABS(F32))</f>
        <v/>
      </c>
    </row>
    <row r="33">
      <c r="A33" s="2" t="n">
        <v>1</v>
      </c>
      <c r="B33" s="2" t="n">
        <v>1</v>
      </c>
      <c r="C33" s="2" t="n">
        <v>1</v>
      </c>
      <c r="D33" s="2" t="n">
        <v>32</v>
      </c>
      <c r="E33" s="3" t="n">
        <v>16443.12857747418</v>
      </c>
      <c r="F33" s="3" t="n">
        <v>14539.79</v>
      </c>
      <c r="G33" s="3">
        <f>F33-E33</f>
        <v/>
      </c>
      <c r="H33" s="3">
        <f>ABS(G33)</f>
        <v/>
      </c>
      <c r="I33" s="4">
        <f>IF(F33=0,"N/A",H33/ABS(F33))</f>
        <v/>
      </c>
    </row>
    <row r="34">
      <c r="A34" s="2" t="n">
        <v>1</v>
      </c>
      <c r="B34" s="2" t="n">
        <v>1</v>
      </c>
      <c r="C34" s="2" t="n">
        <v>1</v>
      </c>
      <c r="D34" s="2" t="n">
        <v>33</v>
      </c>
      <c r="E34" s="3" t="n">
        <v>16062.46086197935</v>
      </c>
      <c r="F34" s="3" t="n">
        <v>14689.24</v>
      </c>
      <c r="G34" s="3">
        <f>F34-E34</f>
        <v/>
      </c>
      <c r="H34" s="3">
        <f>ABS(G34)</f>
        <v/>
      </c>
      <c r="I34" s="4">
        <f>IF(F34=0,"N/A",H34/ABS(F34))</f>
        <v/>
      </c>
    </row>
    <row r="35">
      <c r="A35" s="2" t="n">
        <v>1</v>
      </c>
      <c r="B35" s="2" t="n">
        <v>1</v>
      </c>
      <c r="C35" s="2" t="n">
        <v>1</v>
      </c>
      <c r="D35" s="2" t="n">
        <v>34</v>
      </c>
      <c r="E35" s="3" t="n">
        <v>15787.81668958348</v>
      </c>
      <c r="F35" s="3" t="n">
        <v>14537.37</v>
      </c>
      <c r="G35" s="3">
        <f>F35-E35</f>
        <v/>
      </c>
      <c r="H35" s="3">
        <f>ABS(G35)</f>
        <v/>
      </c>
      <c r="I35" s="4">
        <f>IF(F35=0,"N/A",H35/ABS(F35))</f>
        <v/>
      </c>
    </row>
    <row r="36">
      <c r="A36" s="2" t="n">
        <v>1</v>
      </c>
      <c r="B36" s="2" t="n">
        <v>1</v>
      </c>
      <c r="C36" s="2" t="n">
        <v>1</v>
      </c>
      <c r="D36" s="2" t="n">
        <v>35</v>
      </c>
      <c r="E36" s="3" t="n">
        <v>15537.72735166678</v>
      </c>
      <c r="F36" s="3" t="n">
        <v>15277.27</v>
      </c>
      <c r="G36" s="3">
        <f>F36-E36</f>
        <v/>
      </c>
      <c r="H36" s="3">
        <f>ABS(G36)</f>
        <v/>
      </c>
      <c r="I36" s="4">
        <f>IF(F36=0,"N/A",H36/ABS(F36))</f>
        <v/>
      </c>
    </row>
    <row r="37">
      <c r="A37" s="2" t="n">
        <v>1</v>
      </c>
      <c r="B37" s="2" t="n">
        <v>1</v>
      </c>
      <c r="C37" s="2" t="n">
        <v>1</v>
      </c>
      <c r="D37" s="2" t="n">
        <v>36</v>
      </c>
      <c r="E37" s="3" t="n">
        <v>15485.63588133343</v>
      </c>
      <c r="F37" s="3" t="n">
        <v>17746.68</v>
      </c>
      <c r="G37" s="3">
        <f>F37-E37</f>
        <v/>
      </c>
      <c r="H37" s="3">
        <f>ABS(G37)</f>
        <v/>
      </c>
      <c r="I37" s="4">
        <f>IF(F37=0,"N/A",H37/ABS(F37))</f>
        <v/>
      </c>
    </row>
    <row r="38">
      <c r="A38" s="2" t="n">
        <v>1</v>
      </c>
      <c r="B38" s="2" t="n">
        <v>1</v>
      </c>
      <c r="C38" s="2" t="n">
        <v>1</v>
      </c>
      <c r="D38" s="2" t="n">
        <v>37</v>
      </c>
      <c r="E38" s="3" t="n">
        <v>15937.84470506674</v>
      </c>
      <c r="F38" s="3" t="n">
        <v>18535.48</v>
      </c>
      <c r="G38" s="3">
        <f>F38-E38</f>
        <v/>
      </c>
      <c r="H38" s="3">
        <f>ABS(G38)</f>
        <v/>
      </c>
      <c r="I38" s="4">
        <f>IF(F38=0,"N/A",H38/ABS(F38))</f>
        <v/>
      </c>
    </row>
    <row r="39">
      <c r="A39" s="2" t="n">
        <v>1</v>
      </c>
      <c r="B39" s="2" t="n">
        <v>1</v>
      </c>
      <c r="C39" s="2" t="n">
        <v>1</v>
      </c>
      <c r="D39" s="2" t="n">
        <v>38</v>
      </c>
      <c r="E39" s="3" t="n">
        <v>16457.37176405339</v>
      </c>
      <c r="F39" s="3" t="n">
        <v>17859.3</v>
      </c>
      <c r="G39" s="3">
        <f>F39-E39</f>
        <v/>
      </c>
      <c r="H39" s="3">
        <f>ABS(G39)</f>
        <v/>
      </c>
      <c r="I39" s="4">
        <f>IF(F39=0,"N/A",H39/ABS(F39))</f>
        <v/>
      </c>
    </row>
    <row r="40">
      <c r="A40" s="2" t="n">
        <v>1</v>
      </c>
      <c r="B40" s="2" t="n">
        <v>1</v>
      </c>
      <c r="C40" s="2" t="n">
        <v>1</v>
      </c>
      <c r="D40" s="2" t="n">
        <v>39</v>
      </c>
      <c r="E40" s="3" t="n">
        <v>16737.75741124272</v>
      </c>
      <c r="F40" s="3" t="n">
        <v>18337.68</v>
      </c>
      <c r="G40" s="3">
        <f>F40-E40</f>
        <v/>
      </c>
      <c r="H40" s="3">
        <f>ABS(G40)</f>
        <v/>
      </c>
      <c r="I40" s="4">
        <f>IF(F40=0,"N/A",H40/ABS(F40))</f>
        <v/>
      </c>
    </row>
    <row r="41">
      <c r="A41" s="2" t="n">
        <v>1</v>
      </c>
      <c r="B41" s="2" t="n">
        <v>1</v>
      </c>
      <c r="C41" s="2" t="n">
        <v>1</v>
      </c>
      <c r="D41" s="2" t="n">
        <v>40</v>
      </c>
      <c r="E41" s="3" t="n">
        <v>17057.74192899418</v>
      </c>
      <c r="F41" s="3" t="n">
        <v>20797.58</v>
      </c>
      <c r="G41" s="3">
        <f>F41-E41</f>
        <v/>
      </c>
      <c r="H41" s="3">
        <f>ABS(G41)</f>
        <v/>
      </c>
      <c r="I41" s="4">
        <f>IF(F41=0,"N/A",H41/ABS(F41))</f>
        <v/>
      </c>
    </row>
    <row r="42">
      <c r="A42" s="2" t="n">
        <v>1</v>
      </c>
      <c r="B42" s="2" t="n">
        <v>1</v>
      </c>
      <c r="C42" s="2" t="n">
        <v>1</v>
      </c>
      <c r="D42" s="2" t="n">
        <v>41</v>
      </c>
      <c r="E42" s="3" t="n">
        <v>17805.70954319534</v>
      </c>
      <c r="F42" s="3" t="n">
        <v>23077.55</v>
      </c>
      <c r="G42" s="3">
        <f>F42-E42</f>
        <v/>
      </c>
      <c r="H42" s="3">
        <f>ABS(G42)</f>
        <v/>
      </c>
      <c r="I42" s="4">
        <f>IF(F42=0,"N/A",H42/ABS(F42))</f>
        <v/>
      </c>
    </row>
    <row r="43">
      <c r="A43" s="2" t="n">
        <v>1</v>
      </c>
      <c r="B43" s="2" t="n">
        <v>1</v>
      </c>
      <c r="C43" s="2" t="n">
        <v>1</v>
      </c>
      <c r="D43" s="2" t="n">
        <v>42</v>
      </c>
      <c r="E43" s="3" t="n">
        <v>18860.07763455628</v>
      </c>
      <c r="F43" s="3" t="n">
        <v>23351.8</v>
      </c>
      <c r="G43" s="3">
        <f>F43-E43</f>
        <v/>
      </c>
      <c r="H43" s="3">
        <f>ABS(G43)</f>
        <v/>
      </c>
      <c r="I43" s="4">
        <f>IF(F43=0,"N/A",H43/ABS(F43))</f>
        <v/>
      </c>
    </row>
    <row r="44">
      <c r="A44" s="2" t="n">
        <v>1</v>
      </c>
      <c r="B44" s="2" t="n">
        <v>1</v>
      </c>
      <c r="C44" s="2" t="n">
        <v>1</v>
      </c>
      <c r="D44" s="2" t="n">
        <v>43</v>
      </c>
      <c r="E44" s="3" t="n">
        <v>19758.42210764502</v>
      </c>
      <c r="F44" s="3" t="n">
        <v>31579.9</v>
      </c>
      <c r="G44" s="3">
        <f>F44-E44</f>
        <v/>
      </c>
      <c r="H44" s="3">
        <f>ABS(G44)</f>
        <v/>
      </c>
      <c r="I44" s="4">
        <f>IF(F44=0,"N/A",H44/ABS(F44))</f>
        <v/>
      </c>
    </row>
    <row r="45">
      <c r="A45" s="2" t="n">
        <v>1</v>
      </c>
      <c r="B45" s="2" t="n">
        <v>1</v>
      </c>
      <c r="C45" s="2" t="n">
        <v>1</v>
      </c>
      <c r="D45" s="2" t="n">
        <v>44</v>
      </c>
      <c r="E45" s="3" t="n">
        <v>22122.71768611602</v>
      </c>
      <c r="F45" s="3" t="n">
        <v>39886.06</v>
      </c>
      <c r="G45" s="3">
        <f>F45-E45</f>
        <v/>
      </c>
      <c r="H45" s="3">
        <f>ABS(G45)</f>
        <v/>
      </c>
      <c r="I45" s="4">
        <f>IF(F45=0,"N/A",H45/ABS(F45))</f>
        <v/>
      </c>
    </row>
    <row r="46">
      <c r="A46" s="2" t="n">
        <v>1</v>
      </c>
      <c r="B46" s="2" t="n">
        <v>1</v>
      </c>
      <c r="C46" s="2" t="n">
        <v>1</v>
      </c>
      <c r="D46" s="2" t="n">
        <v>45</v>
      </c>
      <c r="E46" s="3" t="n">
        <v>25675.38614889282</v>
      </c>
      <c r="F46" s="3" t="n">
        <v>18689.54</v>
      </c>
      <c r="G46" s="3">
        <f>F46-E46</f>
        <v/>
      </c>
      <c r="H46" s="3">
        <f>ABS(G46)</f>
        <v/>
      </c>
      <c r="I46" s="4">
        <f>IF(F46=0,"N/A",H46/ABS(F46))</f>
        <v/>
      </c>
    </row>
    <row r="47">
      <c r="A47" s="2" t="n">
        <v>1</v>
      </c>
      <c r="B47" s="2" t="n">
        <v>1</v>
      </c>
      <c r="C47" s="2" t="n">
        <v>1</v>
      </c>
      <c r="D47" s="2" t="n">
        <v>46</v>
      </c>
      <c r="E47" s="3" t="n">
        <v>24278.21691911425</v>
      </c>
      <c r="F47" s="3" t="n">
        <v>19050.66</v>
      </c>
      <c r="G47" s="3">
        <f>F47-E47</f>
        <v/>
      </c>
      <c r="H47" s="3">
        <f>ABS(G47)</f>
        <v/>
      </c>
      <c r="I47" s="4">
        <f>IF(F47=0,"N/A",H47/ABS(F47))</f>
        <v/>
      </c>
    </row>
    <row r="48">
      <c r="A48" s="2" t="n">
        <v>1</v>
      </c>
      <c r="B48" s="2" t="n">
        <v>1</v>
      </c>
      <c r="C48" s="2" t="n">
        <v>1</v>
      </c>
      <c r="D48" s="2" t="n">
        <v>47</v>
      </c>
      <c r="E48" s="3" t="n">
        <v>23232.7055352914</v>
      </c>
      <c r="F48" s="3" t="n">
        <v>20911.25</v>
      </c>
      <c r="G48" s="3">
        <f>F48-E48</f>
        <v/>
      </c>
      <c r="H48" s="3">
        <f>ABS(G48)</f>
        <v/>
      </c>
      <c r="I48" s="4">
        <f>IF(F48=0,"N/A",H48/ABS(F48))</f>
        <v/>
      </c>
    </row>
    <row r="49">
      <c r="A49" s="2" t="n">
        <v>1</v>
      </c>
      <c r="B49" s="2" t="n">
        <v>1</v>
      </c>
      <c r="C49" s="2" t="n">
        <v>1</v>
      </c>
      <c r="D49" s="2" t="n">
        <v>48</v>
      </c>
      <c r="E49" s="3" t="n">
        <v>22768.41442823312</v>
      </c>
      <c r="F49" s="3" t="n">
        <v>25293.49</v>
      </c>
      <c r="G49" s="3">
        <f>F49-E49</f>
        <v/>
      </c>
      <c r="H49" s="3">
        <f>ABS(G49)</f>
        <v/>
      </c>
      <c r="I49" s="4">
        <f>IF(F49=0,"N/A",H49/ABS(F49))</f>
        <v/>
      </c>
    </row>
    <row r="50">
      <c r="A50" s="2" t="n">
        <v>1</v>
      </c>
      <c r="B50" s="2" t="n">
        <v>1</v>
      </c>
      <c r="C50" s="2" t="n">
        <v>1</v>
      </c>
      <c r="D50" s="2" t="n">
        <v>49</v>
      </c>
      <c r="E50" s="3" t="n">
        <v>23273.4295425865</v>
      </c>
      <c r="F50" s="3" t="n">
        <v>33305.92</v>
      </c>
      <c r="G50" s="3">
        <f>F50-E50</f>
        <v/>
      </c>
      <c r="H50" s="3">
        <f>ABS(G50)</f>
        <v/>
      </c>
      <c r="I50" s="4">
        <f>IF(F50=0,"N/A",H50/ABS(F50))</f>
        <v/>
      </c>
    </row>
    <row r="51">
      <c r="A51" s="2" t="n">
        <v>1</v>
      </c>
      <c r="B51" s="2" t="n">
        <v>1</v>
      </c>
      <c r="C51" s="2" t="n">
        <v>1</v>
      </c>
      <c r="D51" s="2" t="n">
        <v>50</v>
      </c>
      <c r="E51" s="3" t="n">
        <v>25279.9276340692</v>
      </c>
      <c r="F51" s="3" t="n">
        <v>45773.03</v>
      </c>
      <c r="G51" s="3">
        <f>F51-E51</f>
        <v/>
      </c>
      <c r="H51" s="3">
        <f>ABS(G51)</f>
        <v/>
      </c>
      <c r="I51" s="4">
        <f>IF(F51=0,"N/A",H51/ABS(F51))</f>
        <v/>
      </c>
    </row>
    <row r="52">
      <c r="A52" s="2" t="n">
        <v>1</v>
      </c>
      <c r="B52" s="2" t="n">
        <v>1</v>
      </c>
      <c r="C52" s="2" t="n">
        <v>1</v>
      </c>
      <c r="D52" s="2" t="n">
        <v>51</v>
      </c>
      <c r="E52" s="3" t="n">
        <v>29378.54810725536</v>
      </c>
      <c r="F52" s="3" t="n">
        <v>46788.75</v>
      </c>
      <c r="G52" s="3">
        <f>F52-E52</f>
        <v/>
      </c>
      <c r="H52" s="3">
        <f>ABS(G52)</f>
        <v/>
      </c>
      <c r="I52" s="4">
        <f>IF(F52=0,"N/A",H52/ABS(F52))</f>
        <v/>
      </c>
    </row>
    <row r="53">
      <c r="A53" s="2" t="n">
        <v>1</v>
      </c>
      <c r="B53" s="2" t="n">
        <v>1</v>
      </c>
      <c r="C53" s="2" t="n">
        <v>1</v>
      </c>
      <c r="D53" s="2" t="n">
        <v>52</v>
      </c>
      <c r="E53" s="3" t="n">
        <v>32860.58848580429</v>
      </c>
      <c r="F53" s="3" t="n">
        <v>23350.88</v>
      </c>
      <c r="G53" s="3">
        <f>F53-E53</f>
        <v/>
      </c>
      <c r="H53" s="3">
        <f>ABS(G53)</f>
        <v/>
      </c>
      <c r="I53" s="4">
        <f>IF(F53=0,"N/A",H53/ABS(F53))</f>
        <v/>
      </c>
    </row>
    <row r="54">
      <c r="A54" s="2" t="n">
        <v>1</v>
      </c>
      <c r="B54" s="2" t="n">
        <v>1</v>
      </c>
      <c r="C54" s="2" t="n">
        <v>2</v>
      </c>
      <c r="D54" s="2" t="n">
        <v>1</v>
      </c>
      <c r="E54" s="3" t="n">
        <v>30958.64678864343</v>
      </c>
      <c r="F54" s="3" t="n">
        <v>16567.69</v>
      </c>
      <c r="G54" s="3">
        <f>F54-E54</f>
        <v/>
      </c>
      <c r="H54" s="3">
        <f>ABS(G54)</f>
        <v/>
      </c>
      <c r="I54" s="4">
        <f>IF(F54=0,"N/A",H54/ABS(F54))</f>
        <v/>
      </c>
    </row>
    <row r="55">
      <c r="A55" s="2" t="n">
        <v>1</v>
      </c>
      <c r="B55" s="2" t="n">
        <v>1</v>
      </c>
      <c r="C55" s="2" t="n">
        <v>2</v>
      </c>
      <c r="D55" s="2" t="n">
        <v>2</v>
      </c>
      <c r="E55" s="3" t="n">
        <v>28080.45543091475</v>
      </c>
      <c r="F55" s="3" t="n">
        <v>16894.4</v>
      </c>
      <c r="G55" s="3">
        <f>F55-E55</f>
        <v/>
      </c>
      <c r="H55" s="3">
        <f>ABS(G55)</f>
        <v/>
      </c>
      <c r="I55" s="4">
        <f>IF(F55=0,"N/A",H55/ABS(F55))</f>
        <v/>
      </c>
    </row>
    <row r="56">
      <c r="A56" s="2" t="n">
        <v>1</v>
      </c>
      <c r="B56" s="2" t="n">
        <v>1</v>
      </c>
      <c r="C56" s="2" t="n">
        <v>2</v>
      </c>
      <c r="D56" s="2" t="n">
        <v>3</v>
      </c>
      <c r="E56" s="3" t="n">
        <v>25843.2443447318</v>
      </c>
      <c r="F56" s="3" t="n">
        <v>18365.1</v>
      </c>
      <c r="G56" s="3">
        <f>F56-E56</f>
        <v/>
      </c>
      <c r="H56" s="3">
        <f>ABS(G56)</f>
        <v/>
      </c>
      <c r="I56" s="4">
        <f>IF(F56=0,"N/A",H56/ABS(F56))</f>
        <v/>
      </c>
    </row>
    <row r="57">
      <c r="A57" s="2" t="n">
        <v>1</v>
      </c>
      <c r="B57" s="2" t="n">
        <v>1</v>
      </c>
      <c r="C57" s="2" t="n">
        <v>2</v>
      </c>
      <c r="D57" s="2" t="n">
        <v>4</v>
      </c>
      <c r="E57" s="3" t="n">
        <v>24347.61547578545</v>
      </c>
      <c r="F57" s="3" t="n">
        <v>18378.16</v>
      </c>
      <c r="G57" s="3">
        <f>F57-E57</f>
        <v/>
      </c>
      <c r="H57" s="3">
        <f>ABS(G57)</f>
        <v/>
      </c>
      <c r="I57" s="4">
        <f>IF(F57=0,"N/A",H57/ABS(F57))</f>
        <v/>
      </c>
    </row>
    <row r="58">
      <c r="A58" s="2" t="n">
        <v>1</v>
      </c>
      <c r="B58" s="2" t="n">
        <v>1</v>
      </c>
      <c r="C58" s="2" t="n">
        <v>2</v>
      </c>
      <c r="D58" s="2" t="n">
        <v>5</v>
      </c>
      <c r="E58" s="3" t="n">
        <v>23153.72438062836</v>
      </c>
      <c r="F58" s="3" t="n">
        <v>23510.49</v>
      </c>
      <c r="G58" s="3">
        <f>F58-E58</f>
        <v/>
      </c>
      <c r="H58" s="3">
        <f>ABS(G58)</f>
        <v/>
      </c>
      <c r="I58" s="4">
        <f>IF(F58=0,"N/A",H58/ABS(F58))</f>
        <v/>
      </c>
    </row>
    <row r="59">
      <c r="A59" s="2" t="n">
        <v>1</v>
      </c>
      <c r="B59" s="2" t="n">
        <v>1</v>
      </c>
      <c r="C59" s="2" t="n">
        <v>2</v>
      </c>
      <c r="D59" s="2" t="n">
        <v>6</v>
      </c>
      <c r="E59" s="3" t="n">
        <v>23225.07750450269</v>
      </c>
      <c r="F59" s="3" t="n">
        <v>36988.49</v>
      </c>
      <c r="G59" s="3">
        <f>F59-E59</f>
        <v/>
      </c>
      <c r="H59" s="3">
        <f>ABS(G59)</f>
        <v/>
      </c>
      <c r="I59" s="4">
        <f>IF(F59=0,"N/A",H59/ABS(F59))</f>
        <v/>
      </c>
    </row>
    <row r="60">
      <c r="A60" s="2" t="n">
        <v>1</v>
      </c>
      <c r="B60" s="2" t="n">
        <v>1</v>
      </c>
      <c r="C60" s="2" t="n">
        <v>2</v>
      </c>
      <c r="D60" s="2" t="n">
        <v>7</v>
      </c>
      <c r="E60" s="3" t="n">
        <v>25977.76000360215</v>
      </c>
      <c r="F60" s="3" t="n">
        <v>54060.1</v>
      </c>
      <c r="G60" s="3">
        <f>F60-E60</f>
        <v/>
      </c>
      <c r="H60" s="3">
        <f>ABS(G60)</f>
        <v/>
      </c>
      <c r="I60" s="4">
        <f>IF(F60=0,"N/A",H60/ABS(F60))</f>
        <v/>
      </c>
    </row>
    <row r="61">
      <c r="A61" s="2" t="n">
        <v>1</v>
      </c>
      <c r="B61" s="2" t="n">
        <v>1</v>
      </c>
      <c r="C61" s="2" t="n">
        <v>2</v>
      </c>
      <c r="D61" s="2" t="n">
        <v>8</v>
      </c>
      <c r="E61" s="3" t="n">
        <v>31594.22800288173</v>
      </c>
      <c r="F61" s="3" t="n">
        <v>20124.22</v>
      </c>
      <c r="G61" s="3">
        <f>F61-E61</f>
        <v/>
      </c>
      <c r="H61" s="3">
        <f>ABS(G61)</f>
        <v/>
      </c>
      <c r="I61" s="4">
        <f>IF(F61=0,"N/A",H61/ABS(F61))</f>
        <v/>
      </c>
    </row>
    <row r="62">
      <c r="A62" s="2" t="n">
        <v>1</v>
      </c>
      <c r="B62" s="2" t="n">
        <v>1</v>
      </c>
      <c r="C62" s="2" t="n">
        <v>2</v>
      </c>
      <c r="D62" s="2" t="n">
        <v>9</v>
      </c>
      <c r="E62" s="3" t="n">
        <v>29300.22640230538</v>
      </c>
      <c r="F62" s="3" t="n">
        <v>20113.03</v>
      </c>
      <c r="G62" s="3">
        <f>F62-E62</f>
        <v/>
      </c>
      <c r="H62" s="3">
        <f>ABS(G62)</f>
        <v/>
      </c>
      <c r="I62" s="4">
        <f>IF(F62=0,"N/A",H62/ABS(F62))</f>
        <v/>
      </c>
    </row>
    <row r="63">
      <c r="A63" s="2" t="n">
        <v>1</v>
      </c>
      <c r="B63" s="2" t="n">
        <v>1</v>
      </c>
      <c r="C63" s="2" t="n">
        <v>2</v>
      </c>
      <c r="D63" s="2" t="n">
        <v>10</v>
      </c>
      <c r="E63" s="3" t="n">
        <v>27462.78712184431</v>
      </c>
      <c r="F63" s="3" t="n">
        <v>21140.07</v>
      </c>
      <c r="G63" s="3">
        <f>F63-E63</f>
        <v/>
      </c>
      <c r="H63" s="3">
        <f>ABS(G63)</f>
        <v/>
      </c>
      <c r="I63" s="4">
        <f>IF(F63=0,"N/A",H63/ABS(F63))</f>
        <v/>
      </c>
    </row>
    <row r="64">
      <c r="A64" s="2" t="n">
        <v>1</v>
      </c>
      <c r="B64" s="2" t="n">
        <v>1</v>
      </c>
      <c r="C64" s="2" t="n">
        <v>2</v>
      </c>
      <c r="D64" s="2" t="n">
        <v>11</v>
      </c>
      <c r="E64" s="3" t="n">
        <v>26198.24369747545</v>
      </c>
      <c r="F64" s="3" t="n">
        <v>22366.88</v>
      </c>
      <c r="G64" s="3">
        <f>F64-E64</f>
        <v/>
      </c>
      <c r="H64" s="3">
        <f>ABS(G64)</f>
        <v/>
      </c>
      <c r="I64" s="4">
        <f>IF(F64=0,"N/A",H64/ABS(F64))</f>
        <v/>
      </c>
    </row>
    <row r="65">
      <c r="A65" s="2" t="n">
        <v>1</v>
      </c>
      <c r="B65" s="2" t="n">
        <v>1</v>
      </c>
      <c r="C65" s="2" t="n">
        <v>2</v>
      </c>
      <c r="D65" s="2" t="n">
        <v>12</v>
      </c>
      <c r="E65" s="3" t="n">
        <v>25431.97095798036</v>
      </c>
      <c r="F65" s="3" t="n">
        <v>22107.7</v>
      </c>
      <c r="G65" s="3">
        <f>F65-E65</f>
        <v/>
      </c>
      <c r="H65" s="3">
        <f>ABS(G65)</f>
        <v/>
      </c>
      <c r="I65" s="4">
        <f>IF(F65=0,"N/A",H65/ABS(F65))</f>
        <v/>
      </c>
    </row>
    <row r="66">
      <c r="A66" s="2" t="n">
        <v>1</v>
      </c>
      <c r="B66" s="2" t="n">
        <v>1</v>
      </c>
      <c r="C66" s="2" t="n">
        <v>2</v>
      </c>
      <c r="D66" s="2" t="n">
        <v>13</v>
      </c>
      <c r="E66" s="3" t="n">
        <v>24767.11676638429</v>
      </c>
      <c r="F66" s="3" t="n">
        <v>28952.86</v>
      </c>
      <c r="G66" s="3">
        <f>F66-E66</f>
        <v/>
      </c>
      <c r="H66" s="3">
        <f>ABS(G66)</f>
        <v/>
      </c>
      <c r="I66" s="4">
        <f>IF(F66=0,"N/A",H66/ABS(F66))</f>
        <v/>
      </c>
    </row>
    <row r="67">
      <c r="A67" s="2" t="n">
        <v>1</v>
      </c>
      <c r="B67" s="2" t="n">
        <v>1</v>
      </c>
      <c r="C67" s="2" t="n">
        <v>2</v>
      </c>
      <c r="D67" s="2" t="n">
        <v>14</v>
      </c>
      <c r="E67" s="3" t="n">
        <v>25604.26541310743</v>
      </c>
      <c r="F67" s="3" t="n">
        <v>57592.12</v>
      </c>
      <c r="G67" s="3">
        <f>F67-E67</f>
        <v/>
      </c>
      <c r="H67" s="3">
        <f>ABS(G67)</f>
        <v/>
      </c>
      <c r="I67" s="4">
        <f>IF(F67=0,"N/A",H67/ABS(F67))</f>
        <v/>
      </c>
    </row>
    <row r="68">
      <c r="A68" s="2" t="n">
        <v>1</v>
      </c>
      <c r="B68" s="2" t="n">
        <v>1</v>
      </c>
      <c r="C68" s="2" t="n">
        <v>2</v>
      </c>
      <c r="D68" s="2" t="n">
        <v>15</v>
      </c>
      <c r="E68" s="3" t="n">
        <v>32001.83633048594</v>
      </c>
      <c r="F68" s="3" t="n">
        <v>34684.21</v>
      </c>
      <c r="G68" s="3">
        <f>F68-E68</f>
        <v/>
      </c>
      <c r="H68" s="3">
        <f>ABS(G68)</f>
        <v/>
      </c>
      <c r="I68" s="4">
        <f>IF(F68=0,"N/A",H68/ABS(F68))</f>
        <v/>
      </c>
    </row>
    <row r="69">
      <c r="A69" s="2" t="n">
        <v>1</v>
      </c>
      <c r="B69" s="2" t="n">
        <v>1</v>
      </c>
      <c r="C69" s="2" t="n">
        <v>2</v>
      </c>
      <c r="D69" s="2" t="n">
        <v>16</v>
      </c>
      <c r="E69" s="3" t="n">
        <v>32538.31106438876</v>
      </c>
      <c r="F69" s="3" t="n">
        <v>16976.19</v>
      </c>
      <c r="G69" s="3">
        <f>F69-E69</f>
        <v/>
      </c>
      <c r="H69" s="3">
        <f>ABS(G69)</f>
        <v/>
      </c>
      <c r="I69" s="4">
        <f>IF(F69=0,"N/A",H69/ABS(F69))</f>
        <v/>
      </c>
    </row>
    <row r="70">
      <c r="A70" s="2" t="n">
        <v>1</v>
      </c>
      <c r="B70" s="2" t="n">
        <v>1</v>
      </c>
      <c r="C70" s="2" t="n">
        <v>2</v>
      </c>
      <c r="D70" s="2" t="n">
        <v>17</v>
      </c>
      <c r="E70" s="3" t="n">
        <v>29425.88685151101</v>
      </c>
      <c r="F70" s="3" t="n">
        <v>16347.6</v>
      </c>
      <c r="G70" s="3">
        <f>F70-E70</f>
        <v/>
      </c>
      <c r="H70" s="3">
        <f>ABS(G70)</f>
        <v/>
      </c>
      <c r="I70" s="4">
        <f>IF(F70=0,"N/A",H70/ABS(F70))</f>
        <v/>
      </c>
    </row>
    <row r="71">
      <c r="A71" s="2" t="n">
        <v>1</v>
      </c>
      <c r="B71" s="2" t="n">
        <v>1</v>
      </c>
      <c r="C71" s="2" t="n">
        <v>2</v>
      </c>
      <c r="D71" s="2" t="n">
        <v>18</v>
      </c>
      <c r="E71" s="3" t="n">
        <v>26810.22948120881</v>
      </c>
      <c r="F71" s="3" t="n">
        <v>17147.44</v>
      </c>
      <c r="G71" s="3">
        <f>F71-E71</f>
        <v/>
      </c>
      <c r="H71" s="3">
        <f>ABS(G71)</f>
        <v/>
      </c>
      <c r="I71" s="4">
        <f>IF(F71=0,"N/A",H71/ABS(F71))</f>
        <v/>
      </c>
    </row>
    <row r="72">
      <c r="A72" s="2" t="n">
        <v>1</v>
      </c>
      <c r="B72" s="2" t="n">
        <v>1</v>
      </c>
      <c r="C72" s="2" t="n">
        <v>2</v>
      </c>
      <c r="D72" s="2" t="n">
        <v>19</v>
      </c>
      <c r="E72" s="3" t="n">
        <v>24877.67158496705</v>
      </c>
      <c r="F72" s="3" t="n">
        <v>18164.2</v>
      </c>
      <c r="G72" s="3">
        <f>F72-E72</f>
        <v/>
      </c>
      <c r="H72" s="3">
        <f>ABS(G72)</f>
        <v/>
      </c>
      <c r="I72" s="4">
        <f>IF(F72=0,"N/A",H72/ABS(F72))</f>
        <v/>
      </c>
    </row>
    <row r="73">
      <c r="A73" s="2" t="n">
        <v>1</v>
      </c>
      <c r="B73" s="2" t="n">
        <v>1</v>
      </c>
      <c r="C73" s="2" t="n">
        <v>2</v>
      </c>
      <c r="D73" s="2" t="n">
        <v>20</v>
      </c>
      <c r="E73" s="3" t="n">
        <v>23534.97726797364</v>
      </c>
      <c r="F73" s="3" t="n">
        <v>18517.79</v>
      </c>
      <c r="G73" s="3">
        <f>F73-E73</f>
        <v/>
      </c>
      <c r="H73" s="3">
        <f>ABS(G73)</f>
        <v/>
      </c>
      <c r="I73" s="4">
        <f>IF(F73=0,"N/A",H73/ABS(F73))</f>
        <v/>
      </c>
    </row>
    <row r="74">
      <c r="A74" s="2" t="n">
        <v>1</v>
      </c>
      <c r="B74" s="2" t="n">
        <v>1</v>
      </c>
      <c r="C74" s="2" t="n">
        <v>2</v>
      </c>
      <c r="D74" s="2" t="n">
        <v>21</v>
      </c>
      <c r="E74" s="3" t="n">
        <v>22531.53981437891</v>
      </c>
      <c r="F74" s="3" t="n">
        <v>16963.55</v>
      </c>
      <c r="G74" s="3">
        <f>F74-E74</f>
        <v/>
      </c>
      <c r="H74" s="3">
        <f>ABS(G74)</f>
        <v/>
      </c>
      <c r="I74" s="4">
        <f>IF(F74=0,"N/A",H74/ABS(F74))</f>
        <v/>
      </c>
    </row>
    <row r="75">
      <c r="A75" s="2" t="n">
        <v>1</v>
      </c>
      <c r="B75" s="2" t="n">
        <v>1</v>
      </c>
      <c r="C75" s="2" t="n">
        <v>2</v>
      </c>
      <c r="D75" s="2" t="n">
        <v>22</v>
      </c>
      <c r="E75" s="3" t="n">
        <v>21417.94185150313</v>
      </c>
      <c r="F75" s="3" t="n">
        <v>16065.49</v>
      </c>
      <c r="G75" s="3">
        <f>F75-E75</f>
        <v/>
      </c>
      <c r="H75" s="3">
        <f>ABS(G75)</f>
        <v/>
      </c>
      <c r="I75" s="4">
        <f>IF(F75=0,"N/A",H75/ABS(F75))</f>
        <v/>
      </c>
    </row>
    <row r="76">
      <c r="A76" s="2" t="n">
        <v>1</v>
      </c>
      <c r="B76" s="2" t="n">
        <v>1</v>
      </c>
      <c r="C76" s="2" t="n">
        <v>2</v>
      </c>
      <c r="D76" s="2" t="n">
        <v>23</v>
      </c>
      <c r="E76" s="3" t="n">
        <v>20347.45148120251</v>
      </c>
      <c r="F76" s="3" t="n">
        <v>17666</v>
      </c>
      <c r="G76" s="3">
        <f>F76-E76</f>
        <v/>
      </c>
      <c r="H76" s="3">
        <f>ABS(G76)</f>
        <v/>
      </c>
      <c r="I76" s="4">
        <f>IF(F76=0,"N/A",H76/ABS(F76))</f>
        <v/>
      </c>
    </row>
    <row r="77">
      <c r="A77" s="2" t="n">
        <v>1</v>
      </c>
      <c r="B77" s="2" t="n">
        <v>1</v>
      </c>
      <c r="C77" s="2" t="n">
        <v>2</v>
      </c>
      <c r="D77" s="2" t="n">
        <v>24</v>
      </c>
      <c r="E77" s="3" t="n">
        <v>19811.16118496201</v>
      </c>
      <c r="F77" s="3" t="n">
        <v>17558.82</v>
      </c>
      <c r="G77" s="3">
        <f>F77-E77</f>
        <v/>
      </c>
      <c r="H77" s="3">
        <f>ABS(G77)</f>
        <v/>
      </c>
      <c r="I77" s="4">
        <f>IF(F77=0,"N/A",H77/ABS(F77))</f>
        <v/>
      </c>
    </row>
    <row r="78">
      <c r="A78" s="2" t="n">
        <v>1</v>
      </c>
      <c r="B78" s="2" t="n">
        <v>1</v>
      </c>
      <c r="C78" s="2" t="n">
        <v>2</v>
      </c>
      <c r="D78" s="2" t="n">
        <v>25</v>
      </c>
      <c r="E78" s="3" t="n">
        <v>19360.6929479696</v>
      </c>
      <c r="F78" s="3" t="n">
        <v>16633.41</v>
      </c>
      <c r="G78" s="3">
        <f>F78-E78</f>
        <v/>
      </c>
      <c r="H78" s="3">
        <f>ABS(G78)</f>
        <v/>
      </c>
      <c r="I78" s="4">
        <f>IF(F78=0,"N/A",H78/ABS(F78))</f>
        <v/>
      </c>
    </row>
    <row r="79">
      <c r="A79" s="2" t="n">
        <v>1</v>
      </c>
      <c r="B79" s="2" t="n">
        <v>1</v>
      </c>
      <c r="C79" s="2" t="n">
        <v>2</v>
      </c>
      <c r="D79" s="2" t="n">
        <v>26</v>
      </c>
      <c r="E79" s="3" t="n">
        <v>18815.23635837569</v>
      </c>
      <c r="F79" s="3" t="n">
        <v>15722.82</v>
      </c>
      <c r="G79" s="3">
        <f>F79-E79</f>
        <v/>
      </c>
      <c r="H79" s="3">
        <f>ABS(G79)</f>
        <v/>
      </c>
      <c r="I79" s="4">
        <f>IF(F79=0,"N/A",H79/ABS(F79))</f>
        <v/>
      </c>
    </row>
    <row r="80">
      <c r="A80" s="2" t="n">
        <v>1</v>
      </c>
      <c r="B80" s="2" t="n">
        <v>1</v>
      </c>
      <c r="C80" s="2" t="n">
        <v>2</v>
      </c>
      <c r="D80" s="2" t="n">
        <v>27</v>
      </c>
      <c r="E80" s="3" t="n">
        <v>18196.75308670055</v>
      </c>
      <c r="F80" s="3" t="n">
        <v>17823.37</v>
      </c>
      <c r="G80" s="3">
        <f>F80-E80</f>
        <v/>
      </c>
      <c r="H80" s="3">
        <f>ABS(G80)</f>
        <v/>
      </c>
      <c r="I80" s="4">
        <f>IF(F80=0,"N/A",H80/ABS(F80))</f>
        <v/>
      </c>
    </row>
    <row r="81">
      <c r="A81" s="2" t="n">
        <v>1</v>
      </c>
      <c r="B81" s="2" t="n">
        <v>1</v>
      </c>
      <c r="C81" s="2" t="n">
        <v>2</v>
      </c>
      <c r="D81" s="2" t="n">
        <v>28</v>
      </c>
      <c r="E81" s="3" t="n">
        <v>18122.07646936044</v>
      </c>
      <c r="F81" s="3" t="n">
        <v>16566.18</v>
      </c>
      <c r="G81" s="3">
        <f>F81-E81</f>
        <v/>
      </c>
      <c r="H81" s="3">
        <f>ABS(G81)</f>
        <v/>
      </c>
      <c r="I81" s="4">
        <f>IF(F81=0,"N/A",H81/ABS(F81))</f>
        <v/>
      </c>
    </row>
    <row r="82">
      <c r="A82" s="2" t="n">
        <v>1</v>
      </c>
      <c r="B82" s="2" t="n">
        <v>1</v>
      </c>
      <c r="C82" s="2" t="n">
        <v>2</v>
      </c>
      <c r="D82" s="2" t="n">
        <v>29</v>
      </c>
      <c r="E82" s="3" t="n">
        <v>17810.89717548835</v>
      </c>
      <c r="F82" s="3" t="n">
        <v>16348.06</v>
      </c>
      <c r="G82" s="3">
        <f>F82-E82</f>
        <v/>
      </c>
      <c r="H82" s="3">
        <f>ABS(G82)</f>
        <v/>
      </c>
      <c r="I82" s="4">
        <f>IF(F82=0,"N/A",H82/ABS(F82))</f>
        <v/>
      </c>
    </row>
    <row r="83">
      <c r="A83" s="2" t="n">
        <v>1</v>
      </c>
      <c r="B83" s="2" t="n">
        <v>1</v>
      </c>
      <c r="C83" s="2" t="n">
        <v>2</v>
      </c>
      <c r="D83" s="2" t="n">
        <v>30</v>
      </c>
      <c r="E83" s="3" t="n">
        <v>17518.32974039068</v>
      </c>
      <c r="F83" s="3" t="n">
        <v>15731.18</v>
      </c>
      <c r="G83" s="3">
        <f>F83-E83</f>
        <v/>
      </c>
      <c r="H83" s="3">
        <f>ABS(G83)</f>
        <v/>
      </c>
      <c r="I83" s="4">
        <f>IF(F83=0,"N/A",H83/ABS(F83))</f>
        <v/>
      </c>
    </row>
    <row r="84">
      <c r="A84" s="2" t="n">
        <v>1</v>
      </c>
      <c r="B84" s="2" t="n">
        <v>1</v>
      </c>
      <c r="C84" s="2" t="n">
        <v>2</v>
      </c>
      <c r="D84" s="2" t="n">
        <v>31</v>
      </c>
      <c r="E84" s="3" t="n">
        <v>17160.89979231255</v>
      </c>
      <c r="F84" s="3" t="n">
        <v>16628.31</v>
      </c>
      <c r="G84" s="3">
        <f>F84-E84</f>
        <v/>
      </c>
      <c r="H84" s="3">
        <f>ABS(G84)</f>
        <v/>
      </c>
      <c r="I84" s="4">
        <f>IF(F84=0,"N/A",H84/ABS(F84))</f>
        <v/>
      </c>
    </row>
    <row r="85">
      <c r="A85" s="2" t="n">
        <v>1</v>
      </c>
      <c r="B85" s="2" t="n">
        <v>1</v>
      </c>
      <c r="C85" s="2" t="n">
        <v>2</v>
      </c>
      <c r="D85" s="2" t="n">
        <v>32</v>
      </c>
      <c r="E85" s="3" t="n">
        <v>17054.38183385004</v>
      </c>
      <c r="F85" s="3" t="n">
        <v>16119.92</v>
      </c>
      <c r="G85" s="3">
        <f>F85-E85</f>
        <v/>
      </c>
      <c r="H85" s="3">
        <f>ABS(G85)</f>
        <v/>
      </c>
      <c r="I85" s="4">
        <f>IF(F85=0,"N/A",H85/ABS(F85))</f>
        <v/>
      </c>
    </row>
    <row r="86">
      <c r="A86" s="2" t="n">
        <v>1</v>
      </c>
      <c r="B86" s="2" t="n">
        <v>1</v>
      </c>
      <c r="C86" s="2" t="n">
        <v>2</v>
      </c>
      <c r="D86" s="2" t="n">
        <v>33</v>
      </c>
      <c r="E86" s="3" t="n">
        <v>16867.48946708003</v>
      </c>
      <c r="F86" s="3" t="n">
        <v>17330.7</v>
      </c>
      <c r="G86" s="3">
        <f>F86-E86</f>
        <v/>
      </c>
      <c r="H86" s="3">
        <f>ABS(G86)</f>
        <v/>
      </c>
      <c r="I86" s="4">
        <f>IF(F86=0,"N/A",H86/ABS(F86))</f>
        <v/>
      </c>
    </row>
    <row r="87">
      <c r="A87" s="2" t="n">
        <v>1</v>
      </c>
      <c r="B87" s="2" t="n">
        <v>1</v>
      </c>
      <c r="C87" s="2" t="n">
        <v>2</v>
      </c>
      <c r="D87" s="2" t="n">
        <v>34</v>
      </c>
      <c r="E87" s="3" t="n">
        <v>16960.13157366402</v>
      </c>
      <c r="F87" s="3" t="n">
        <v>16286.4</v>
      </c>
      <c r="G87" s="3">
        <f>F87-E87</f>
        <v/>
      </c>
      <c r="H87" s="3">
        <f>ABS(G87)</f>
        <v/>
      </c>
      <c r="I87" s="4">
        <f>IF(F87=0,"N/A",H87/ABS(F87))</f>
        <v/>
      </c>
    </row>
    <row r="88">
      <c r="A88" s="2" t="n">
        <v>1</v>
      </c>
      <c r="B88" s="2" t="n">
        <v>1</v>
      </c>
      <c r="C88" s="2" t="n">
        <v>2</v>
      </c>
      <c r="D88" s="2" t="n">
        <v>35</v>
      </c>
      <c r="E88" s="3" t="n">
        <v>16825.38525893122</v>
      </c>
      <c r="F88" s="3" t="n">
        <v>16680.24</v>
      </c>
      <c r="G88" s="3">
        <f>F88-E88</f>
        <v/>
      </c>
      <c r="H88" s="3">
        <f>ABS(G88)</f>
        <v/>
      </c>
      <c r="I88" s="4">
        <f>IF(F88=0,"N/A",H88/ABS(F88))</f>
        <v/>
      </c>
    </row>
    <row r="89">
      <c r="A89" s="2" t="n">
        <v>1</v>
      </c>
      <c r="B89" s="2" t="n">
        <v>1</v>
      </c>
      <c r="C89" s="2" t="n">
        <v>2</v>
      </c>
      <c r="D89" s="2" t="n">
        <v>36</v>
      </c>
      <c r="E89" s="3" t="n">
        <v>16796.35620714498</v>
      </c>
      <c r="F89" s="3" t="n">
        <v>18322.37</v>
      </c>
      <c r="G89" s="3">
        <f>F89-E89</f>
        <v/>
      </c>
      <c r="H89" s="3">
        <f>ABS(G89)</f>
        <v/>
      </c>
      <c r="I89" s="4">
        <f>IF(F89=0,"N/A",H89/ABS(F89))</f>
        <v/>
      </c>
    </row>
    <row r="90">
      <c r="A90" s="2" t="n">
        <v>1</v>
      </c>
      <c r="B90" s="2" t="n">
        <v>1</v>
      </c>
      <c r="C90" s="2" t="n">
        <v>2</v>
      </c>
      <c r="D90" s="2" t="n">
        <v>37</v>
      </c>
      <c r="E90" s="3" t="n">
        <v>17101.55896571598</v>
      </c>
      <c r="F90" s="3" t="n">
        <v>19616.22</v>
      </c>
      <c r="G90" s="3">
        <f>F90-E90</f>
        <v/>
      </c>
      <c r="H90" s="3">
        <f>ABS(G90)</f>
        <v/>
      </c>
      <c r="I90" s="4">
        <f>IF(F90=0,"N/A",H90/ABS(F90))</f>
        <v/>
      </c>
    </row>
    <row r="91">
      <c r="A91" s="2" t="n">
        <v>1</v>
      </c>
      <c r="B91" s="2" t="n">
        <v>1</v>
      </c>
      <c r="C91" s="2" t="n">
        <v>2</v>
      </c>
      <c r="D91" s="2" t="n">
        <v>38</v>
      </c>
      <c r="E91" s="3" t="n">
        <v>17604.49117257279</v>
      </c>
      <c r="F91" s="3" t="n">
        <v>19251.5</v>
      </c>
      <c r="G91" s="3">
        <f>F91-E91</f>
        <v/>
      </c>
      <c r="H91" s="3">
        <f>ABS(G91)</f>
        <v/>
      </c>
      <c r="I91" s="4">
        <f>IF(F91=0,"N/A",H91/ABS(F91))</f>
        <v/>
      </c>
    </row>
    <row r="92">
      <c r="A92" s="2" t="n">
        <v>1</v>
      </c>
      <c r="B92" s="2" t="n">
        <v>1</v>
      </c>
      <c r="C92" s="2" t="n">
        <v>2</v>
      </c>
      <c r="D92" s="2" t="n">
        <v>39</v>
      </c>
      <c r="E92" s="3" t="n">
        <v>17933.89293805823</v>
      </c>
      <c r="F92" s="3" t="n">
        <v>18947.81</v>
      </c>
      <c r="G92" s="3">
        <f>F92-E92</f>
        <v/>
      </c>
      <c r="H92" s="3">
        <f>ABS(G92)</f>
        <v/>
      </c>
      <c r="I92" s="4">
        <f>IF(F92=0,"N/A",H92/ABS(F92))</f>
        <v/>
      </c>
    </row>
    <row r="93">
      <c r="A93" s="2" t="n">
        <v>1</v>
      </c>
      <c r="B93" s="2" t="n">
        <v>1</v>
      </c>
      <c r="C93" s="2" t="n">
        <v>2</v>
      </c>
      <c r="D93" s="2" t="n">
        <v>40</v>
      </c>
      <c r="E93" s="3" t="n">
        <v>18136.67635044659</v>
      </c>
      <c r="F93" s="3" t="n">
        <v>21904.47</v>
      </c>
      <c r="G93" s="3">
        <f>F93-E93</f>
        <v/>
      </c>
      <c r="H93" s="3">
        <f>ABS(G93)</f>
        <v/>
      </c>
      <c r="I93" s="4">
        <f>IF(F93=0,"N/A",H93/ABS(F93))</f>
        <v/>
      </c>
    </row>
    <row r="94">
      <c r="A94" s="2" t="n">
        <v>1</v>
      </c>
      <c r="B94" s="2" t="n">
        <v>1</v>
      </c>
      <c r="C94" s="2" t="n">
        <v>2</v>
      </c>
      <c r="D94" s="2" t="n">
        <v>41</v>
      </c>
      <c r="E94" s="3" t="n">
        <v>18890.23508035727</v>
      </c>
      <c r="F94" s="3" t="n">
        <v>22764.01</v>
      </c>
      <c r="G94" s="3">
        <f>F94-E94</f>
        <v/>
      </c>
      <c r="H94" s="3">
        <f>ABS(G94)</f>
        <v/>
      </c>
      <c r="I94" s="4">
        <f>IF(F94=0,"N/A",H94/ABS(F94))</f>
        <v/>
      </c>
    </row>
    <row r="95">
      <c r="A95" s="2" t="n">
        <v>1</v>
      </c>
      <c r="B95" s="2" t="n">
        <v>1</v>
      </c>
      <c r="C95" s="2" t="n">
        <v>2</v>
      </c>
      <c r="D95" s="2" t="n">
        <v>42</v>
      </c>
      <c r="E95" s="3" t="n">
        <v>19664.99006428582</v>
      </c>
      <c r="F95" s="3" t="n">
        <v>24185.27</v>
      </c>
      <c r="G95" s="3">
        <f>F95-E95</f>
        <v/>
      </c>
      <c r="H95" s="3">
        <f>ABS(G95)</f>
        <v/>
      </c>
      <c r="I95" s="4">
        <f>IF(F95=0,"N/A",H95/ABS(F95))</f>
        <v/>
      </c>
    </row>
    <row r="96">
      <c r="A96" s="2" t="n">
        <v>1</v>
      </c>
      <c r="B96" s="2" t="n">
        <v>1</v>
      </c>
      <c r="C96" s="2" t="n">
        <v>2</v>
      </c>
      <c r="D96" s="2" t="n">
        <v>43</v>
      </c>
      <c r="E96" s="3" t="n">
        <v>20569.04605142865</v>
      </c>
      <c r="F96" s="3" t="n">
        <v>27390.81</v>
      </c>
      <c r="G96" s="3">
        <f>F96-E96</f>
        <v/>
      </c>
      <c r="H96" s="3">
        <f>ABS(G96)</f>
        <v/>
      </c>
      <c r="I96" s="4">
        <f>IF(F96=0,"N/A",H96/ABS(F96))</f>
        <v/>
      </c>
    </row>
    <row r="97">
      <c r="A97" s="2" t="n">
        <v>1</v>
      </c>
      <c r="B97" s="2" t="n">
        <v>2</v>
      </c>
      <c r="C97" s="2" t="n">
        <v>1</v>
      </c>
      <c r="D97" s="2" t="n">
        <v>1</v>
      </c>
      <c r="E97" s="3" t="n">
        <v>46032.12046402955</v>
      </c>
      <c r="F97" s="3" t="n">
        <v>43202.29</v>
      </c>
      <c r="G97" s="3">
        <f>F97-E97</f>
        <v/>
      </c>
      <c r="H97" s="3">
        <f>ABS(G97)</f>
        <v/>
      </c>
      <c r="I97" s="4">
        <f>IF(F97=0,"N/A",H97/ABS(F97))</f>
        <v/>
      </c>
    </row>
    <row r="98">
      <c r="A98" s="2" t="n">
        <v>1</v>
      </c>
      <c r="B98" s="2" t="n">
        <v>2</v>
      </c>
      <c r="C98" s="2" t="n">
        <v>1</v>
      </c>
      <c r="D98" s="2" t="n">
        <v>2</v>
      </c>
      <c r="E98" s="3" t="n">
        <v>45466.15437122365</v>
      </c>
      <c r="F98" s="3" t="n">
        <v>39857.4</v>
      </c>
      <c r="G98" s="3">
        <f>F98-E98</f>
        <v/>
      </c>
      <c r="H98" s="3">
        <f>ABS(G98)</f>
        <v/>
      </c>
      <c r="I98" s="4">
        <f>IF(F98=0,"N/A",H98/ABS(F98))</f>
        <v/>
      </c>
    </row>
    <row r="99">
      <c r="A99" s="2" t="n">
        <v>1</v>
      </c>
      <c r="B99" s="2" t="n">
        <v>2</v>
      </c>
      <c r="C99" s="2" t="n">
        <v>1</v>
      </c>
      <c r="D99" s="2" t="n">
        <v>3</v>
      </c>
      <c r="E99" s="3" t="n">
        <v>44344.40349697892</v>
      </c>
      <c r="F99" s="3" t="n">
        <v>41596.99</v>
      </c>
      <c r="G99" s="3">
        <f>F99-E99</f>
        <v/>
      </c>
      <c r="H99" s="3">
        <f>ABS(G99)</f>
        <v/>
      </c>
      <c r="I99" s="4">
        <f>IF(F99=0,"N/A",H99/ABS(F99))</f>
        <v/>
      </c>
    </row>
    <row r="100">
      <c r="A100" s="2" t="n">
        <v>1</v>
      </c>
      <c r="B100" s="2" t="n">
        <v>2</v>
      </c>
      <c r="C100" s="2" t="n">
        <v>1</v>
      </c>
      <c r="D100" s="2" t="n">
        <v>4</v>
      </c>
      <c r="E100" s="3" t="n">
        <v>43794.92079758314</v>
      </c>
      <c r="F100" s="3" t="n">
        <v>41651.01</v>
      </c>
      <c r="G100" s="3">
        <f>F100-E100</f>
        <v/>
      </c>
      <c r="H100" s="3">
        <f>ABS(G100)</f>
        <v/>
      </c>
      <c r="I100" s="4">
        <f>IF(F100=0,"N/A",H100/ABS(F100))</f>
        <v/>
      </c>
    </row>
    <row r="101">
      <c r="A101" s="2" t="n">
        <v>1</v>
      </c>
      <c r="B101" s="2" t="n">
        <v>2</v>
      </c>
      <c r="C101" s="2" t="n">
        <v>1</v>
      </c>
      <c r="D101" s="2" t="n">
        <v>5</v>
      </c>
      <c r="E101" s="3" t="n">
        <v>43366.13863806651</v>
      </c>
      <c r="F101" s="3" t="n">
        <v>46829.12</v>
      </c>
      <c r="G101" s="3">
        <f>F101-E101</f>
        <v/>
      </c>
      <c r="H101" s="3">
        <f>ABS(G101)</f>
        <v/>
      </c>
      <c r="I101" s="4">
        <f>IF(F101=0,"N/A",H101/ABS(F101))</f>
        <v/>
      </c>
    </row>
    <row r="102">
      <c r="A102" s="2" t="n">
        <v>1</v>
      </c>
      <c r="B102" s="2" t="n">
        <v>2</v>
      </c>
      <c r="C102" s="2" t="n">
        <v>1</v>
      </c>
      <c r="D102" s="2" t="n">
        <v>6</v>
      </c>
      <c r="E102" s="3" t="n">
        <v>44058.7349104532</v>
      </c>
      <c r="F102" s="3" t="n">
        <v>47595.35</v>
      </c>
      <c r="G102" s="3">
        <f>F102-E102</f>
        <v/>
      </c>
      <c r="H102" s="3">
        <f>ABS(G102)</f>
        <v/>
      </c>
      <c r="I102" s="4">
        <f>IF(F102=0,"N/A",H102/ABS(F102))</f>
        <v/>
      </c>
    </row>
    <row r="103">
      <c r="A103" s="2" t="n">
        <v>1</v>
      </c>
      <c r="B103" s="2" t="n">
        <v>2</v>
      </c>
      <c r="C103" s="2" t="n">
        <v>1</v>
      </c>
      <c r="D103" s="2" t="n">
        <v>7</v>
      </c>
      <c r="E103" s="3" t="n">
        <v>44766.05792836256</v>
      </c>
      <c r="F103" s="3" t="n">
        <v>49202.06</v>
      </c>
      <c r="G103" s="3">
        <f>F103-E103</f>
        <v/>
      </c>
      <c r="H103" s="3">
        <f>ABS(G103)</f>
        <v/>
      </c>
      <c r="I103" s="4">
        <f>IF(F103=0,"N/A",H103/ABS(F103))</f>
        <v/>
      </c>
    </row>
    <row r="104">
      <c r="A104" s="2" t="n">
        <v>1</v>
      </c>
      <c r="B104" s="2" t="n">
        <v>2</v>
      </c>
      <c r="C104" s="2" t="n">
        <v>1</v>
      </c>
      <c r="D104" s="2" t="n">
        <v>8</v>
      </c>
      <c r="E104" s="3" t="n">
        <v>45653.25834269005</v>
      </c>
      <c r="F104" s="3" t="n">
        <v>46165.25</v>
      </c>
      <c r="G104" s="3">
        <f>F104-E104</f>
        <v/>
      </c>
      <c r="H104" s="3">
        <f>ABS(G104)</f>
        <v/>
      </c>
      <c r="I104" s="4">
        <f>IF(F104=0,"N/A",H104/ABS(F104))</f>
        <v/>
      </c>
    </row>
    <row r="105">
      <c r="A105" s="2" t="n">
        <v>1</v>
      </c>
      <c r="B105" s="2" t="n">
        <v>2</v>
      </c>
      <c r="C105" s="2" t="n">
        <v>1</v>
      </c>
      <c r="D105" s="2" t="n">
        <v>9</v>
      </c>
      <c r="E105" s="3" t="n">
        <v>45755.65667415204</v>
      </c>
      <c r="F105" s="3" t="n">
        <v>53035.54</v>
      </c>
      <c r="G105" s="3">
        <f>F105-E105</f>
        <v/>
      </c>
      <c r="H105" s="3">
        <f>ABS(G105)</f>
        <v/>
      </c>
      <c r="I105" s="4">
        <f>IF(F105=0,"N/A",H105/ABS(F105))</f>
        <v/>
      </c>
    </row>
    <row r="106">
      <c r="A106" s="2" t="n">
        <v>1</v>
      </c>
      <c r="B106" s="2" t="n">
        <v>2</v>
      </c>
      <c r="C106" s="2" t="n">
        <v>1</v>
      </c>
      <c r="D106" s="2" t="n">
        <v>10</v>
      </c>
      <c r="E106" s="3" t="n">
        <v>47211.63333932163</v>
      </c>
      <c r="F106" s="3" t="n">
        <v>48465.72</v>
      </c>
      <c r="G106" s="3">
        <f>F106-E106</f>
        <v/>
      </c>
      <c r="H106" s="3">
        <f>ABS(G106)</f>
        <v/>
      </c>
      <c r="I106" s="4">
        <f>IF(F106=0,"N/A",H106/ABS(F106))</f>
        <v/>
      </c>
    </row>
    <row r="107">
      <c r="A107" s="2" t="n">
        <v>1</v>
      </c>
      <c r="B107" s="2" t="n">
        <v>2</v>
      </c>
      <c r="C107" s="2" t="n">
        <v>1</v>
      </c>
      <c r="D107" s="2" t="n">
        <v>11</v>
      </c>
      <c r="E107" s="3" t="n">
        <v>47462.45067145731</v>
      </c>
      <c r="F107" s="3" t="n">
        <v>45222.3</v>
      </c>
      <c r="G107" s="3">
        <f>F107-E107</f>
        <v/>
      </c>
      <c r="H107" s="3">
        <f>ABS(G107)</f>
        <v/>
      </c>
      <c r="I107" s="4">
        <f>IF(F107=0,"N/A",H107/ABS(F107))</f>
        <v/>
      </c>
    </row>
    <row r="108">
      <c r="A108" s="2" t="n">
        <v>1</v>
      </c>
      <c r="B108" s="2" t="n">
        <v>2</v>
      </c>
      <c r="C108" s="2" t="n">
        <v>1</v>
      </c>
      <c r="D108" s="2" t="n">
        <v>12</v>
      </c>
      <c r="E108" s="3" t="n">
        <v>47014.42053716585</v>
      </c>
      <c r="F108" s="3" t="n">
        <v>44293.54</v>
      </c>
      <c r="G108" s="3">
        <f>F108-E108</f>
        <v/>
      </c>
      <c r="H108" s="3">
        <f>ABS(G108)</f>
        <v/>
      </c>
      <c r="I108" s="4">
        <f>IF(F108=0,"N/A",H108/ABS(F108))</f>
        <v/>
      </c>
    </row>
    <row r="109">
      <c r="A109" s="2" t="n">
        <v>1</v>
      </c>
      <c r="B109" s="2" t="n">
        <v>2</v>
      </c>
      <c r="C109" s="2" t="n">
        <v>1</v>
      </c>
      <c r="D109" s="2" t="n">
        <v>13</v>
      </c>
      <c r="E109" s="3" t="n">
        <v>46470.24442973268</v>
      </c>
      <c r="F109" s="3" t="n">
        <v>46991.58</v>
      </c>
      <c r="G109" s="3">
        <f>F109-E109</f>
        <v/>
      </c>
      <c r="H109" s="3">
        <f>ABS(G109)</f>
        <v/>
      </c>
      <c r="I109" s="4">
        <f>IF(F109=0,"N/A",H109/ABS(F109))</f>
        <v/>
      </c>
    </row>
    <row r="110">
      <c r="A110" s="2" t="n">
        <v>1</v>
      </c>
      <c r="B110" s="2" t="n">
        <v>2</v>
      </c>
      <c r="C110" s="2" t="n">
        <v>1</v>
      </c>
      <c r="D110" s="2" t="n">
        <v>14</v>
      </c>
      <c r="E110" s="3" t="n">
        <v>46574.51154378615</v>
      </c>
      <c r="F110" s="3" t="n">
        <v>48501.79</v>
      </c>
      <c r="G110" s="3">
        <f>F110-E110</f>
        <v/>
      </c>
      <c r="H110" s="3">
        <f>ABS(G110)</f>
        <v/>
      </c>
      <c r="I110" s="4">
        <f>IF(F110=0,"N/A",H110/ABS(F110))</f>
        <v/>
      </c>
    </row>
    <row r="111">
      <c r="A111" s="2" t="n">
        <v>1</v>
      </c>
      <c r="B111" s="2" t="n">
        <v>2</v>
      </c>
      <c r="C111" s="2" t="n">
        <v>1</v>
      </c>
      <c r="D111" s="2" t="n">
        <v>15</v>
      </c>
      <c r="E111" s="3" t="n">
        <v>46959.96723502892</v>
      </c>
      <c r="F111" s="3" t="n">
        <v>44464.74</v>
      </c>
      <c r="G111" s="3">
        <f>F111-E111</f>
        <v/>
      </c>
      <c r="H111" s="3">
        <f>ABS(G111)</f>
        <v/>
      </c>
      <c r="I111" s="4">
        <f>IF(F111=0,"N/A",H111/ABS(F111))</f>
        <v/>
      </c>
    </row>
    <row r="112">
      <c r="A112" s="2" t="n">
        <v>1</v>
      </c>
      <c r="B112" s="2" t="n">
        <v>2</v>
      </c>
      <c r="C112" s="2" t="n">
        <v>1</v>
      </c>
      <c r="D112" s="2" t="n">
        <v>16</v>
      </c>
      <c r="E112" s="3" t="n">
        <v>46460.92178802313</v>
      </c>
      <c r="F112" s="3" t="n">
        <v>46544.56</v>
      </c>
      <c r="G112" s="3">
        <f>F112-E112</f>
        <v/>
      </c>
      <c r="H112" s="3">
        <f>ABS(G112)</f>
        <v/>
      </c>
      <c r="I112" s="4">
        <f>IF(F112=0,"N/A",H112/ABS(F112))</f>
        <v/>
      </c>
    </row>
    <row r="113">
      <c r="A113" s="2" t="n">
        <v>1</v>
      </c>
      <c r="B113" s="2" t="n">
        <v>2</v>
      </c>
      <c r="C113" s="2" t="n">
        <v>1</v>
      </c>
      <c r="D113" s="2" t="n">
        <v>17</v>
      </c>
      <c r="E113" s="3" t="n">
        <v>46477.6494304185</v>
      </c>
      <c r="F113" s="3" t="n">
        <v>43682.41</v>
      </c>
      <c r="G113" s="3">
        <f>F113-E113</f>
        <v/>
      </c>
      <c r="H113" s="3">
        <f>ABS(G113)</f>
        <v/>
      </c>
      <c r="I113" s="4">
        <f>IF(F113=0,"N/A",H113/ABS(F113))</f>
        <v/>
      </c>
    </row>
    <row r="114">
      <c r="A114" s="2" t="n">
        <v>1</v>
      </c>
      <c r="B114" s="2" t="n">
        <v>2</v>
      </c>
      <c r="C114" s="2" t="n">
        <v>1</v>
      </c>
      <c r="D114" s="2" t="n">
        <v>18</v>
      </c>
      <c r="E114" s="3" t="n">
        <v>45918.60154433481</v>
      </c>
      <c r="F114" s="3" t="n">
        <v>50139.92</v>
      </c>
      <c r="G114" s="3">
        <f>F114-E114</f>
        <v/>
      </c>
      <c r="H114" s="3">
        <f>ABS(G114)</f>
        <v/>
      </c>
      <c r="I114" s="4">
        <f>IF(F114=0,"N/A",H114/ABS(F114))</f>
        <v/>
      </c>
    </row>
    <row r="115">
      <c r="A115" s="2" t="n">
        <v>1</v>
      </c>
      <c r="B115" s="2" t="n">
        <v>2</v>
      </c>
      <c r="C115" s="2" t="n">
        <v>1</v>
      </c>
      <c r="D115" s="2" t="n">
        <v>19</v>
      </c>
      <c r="E115" s="3" t="n">
        <v>46762.86523546785</v>
      </c>
      <c r="F115" s="3" t="n">
        <v>44274.15</v>
      </c>
      <c r="G115" s="3">
        <f>F115-E115</f>
        <v/>
      </c>
      <c r="H115" s="3">
        <f>ABS(G115)</f>
        <v/>
      </c>
      <c r="I115" s="4">
        <f>IF(F115=0,"N/A",H115/ABS(F115))</f>
        <v/>
      </c>
    </row>
    <row r="116">
      <c r="A116" s="2" t="n">
        <v>1</v>
      </c>
      <c r="B116" s="2" t="n">
        <v>2</v>
      </c>
      <c r="C116" s="2" t="n">
        <v>1</v>
      </c>
      <c r="D116" s="2" t="n">
        <v>20</v>
      </c>
      <c r="E116" s="3" t="n">
        <v>46265.12218837428</v>
      </c>
      <c r="F116" s="3" t="n">
        <v>44302.11</v>
      </c>
      <c r="G116" s="3">
        <f>F116-E116</f>
        <v/>
      </c>
      <c r="H116" s="3">
        <f>ABS(G116)</f>
        <v/>
      </c>
      <c r="I116" s="4">
        <f>IF(F116=0,"N/A",H116/ABS(F116))</f>
        <v/>
      </c>
    </row>
    <row r="117">
      <c r="A117" s="2" t="n">
        <v>1</v>
      </c>
      <c r="B117" s="2" t="n">
        <v>2</v>
      </c>
      <c r="C117" s="2" t="n">
        <v>1</v>
      </c>
      <c r="D117" s="2" t="n">
        <v>21</v>
      </c>
      <c r="E117" s="3" t="n">
        <v>45872.51975069943</v>
      </c>
      <c r="F117" s="3" t="n">
        <v>45072.11</v>
      </c>
      <c r="G117" s="3">
        <f>F117-E117</f>
        <v/>
      </c>
      <c r="H117" s="3">
        <f>ABS(G117)</f>
        <v/>
      </c>
      <c r="I117" s="4">
        <f>IF(F117=0,"N/A",H117/ABS(F117))</f>
        <v/>
      </c>
    </row>
    <row r="118">
      <c r="A118" s="2" t="n">
        <v>1</v>
      </c>
      <c r="B118" s="2" t="n">
        <v>2</v>
      </c>
      <c r="C118" s="2" t="n">
        <v>1</v>
      </c>
      <c r="D118" s="2" t="n">
        <v>22</v>
      </c>
      <c r="E118" s="3" t="n">
        <v>45712.43780055954</v>
      </c>
      <c r="F118" s="3" t="n">
        <v>47844.27</v>
      </c>
      <c r="G118" s="3">
        <f>F118-E118</f>
        <v/>
      </c>
      <c r="H118" s="3">
        <f>ABS(G118)</f>
        <v/>
      </c>
      <c r="I118" s="4">
        <f>IF(F118=0,"N/A",H118/ABS(F118))</f>
        <v/>
      </c>
    </row>
    <row r="119">
      <c r="A119" s="2" t="n">
        <v>1</v>
      </c>
      <c r="B119" s="2" t="n">
        <v>2</v>
      </c>
      <c r="C119" s="2" t="n">
        <v>1</v>
      </c>
      <c r="D119" s="2" t="n">
        <v>23</v>
      </c>
      <c r="E119" s="3" t="n">
        <v>46138.80424044764</v>
      </c>
      <c r="F119" s="3" t="n">
        <v>46363.93</v>
      </c>
      <c r="G119" s="3">
        <f>F119-E119</f>
        <v/>
      </c>
      <c r="H119" s="3">
        <f>ABS(G119)</f>
        <v/>
      </c>
      <c r="I119" s="4">
        <f>IF(F119=0,"N/A",H119/ABS(F119))</f>
        <v/>
      </c>
    </row>
    <row r="120">
      <c r="A120" s="2" t="n">
        <v>1</v>
      </c>
      <c r="B120" s="2" t="n">
        <v>2</v>
      </c>
      <c r="C120" s="2" t="n">
        <v>1</v>
      </c>
      <c r="D120" s="2" t="n">
        <v>24</v>
      </c>
      <c r="E120" s="3" t="n">
        <v>46183.82939235811</v>
      </c>
      <c r="F120" s="3" t="n">
        <v>42939.63</v>
      </c>
      <c r="G120" s="3">
        <f>F120-E120</f>
        <v/>
      </c>
      <c r="H120" s="3">
        <f>ABS(G120)</f>
        <v/>
      </c>
      <c r="I120" s="4">
        <f>IF(F120=0,"N/A",H120/ABS(F120))</f>
        <v/>
      </c>
    </row>
    <row r="121">
      <c r="A121" s="2" t="n">
        <v>1</v>
      </c>
      <c r="B121" s="2" t="n">
        <v>2</v>
      </c>
      <c r="C121" s="2" t="n">
        <v>1</v>
      </c>
      <c r="D121" s="2" t="n">
        <v>25</v>
      </c>
      <c r="E121" s="3" t="n">
        <v>45534.98951388649</v>
      </c>
      <c r="F121" s="3" t="n">
        <v>42415.81</v>
      </c>
      <c r="G121" s="3">
        <f>F121-E121</f>
        <v/>
      </c>
      <c r="H121" s="3">
        <f>ABS(G121)</f>
        <v/>
      </c>
      <c r="I121" s="4">
        <f>IF(F121=0,"N/A",H121/ABS(F121))</f>
        <v/>
      </c>
    </row>
    <row r="122">
      <c r="A122" s="2" t="n">
        <v>1</v>
      </c>
      <c r="B122" s="2" t="n">
        <v>2</v>
      </c>
      <c r="C122" s="2" t="n">
        <v>1</v>
      </c>
      <c r="D122" s="2" t="n">
        <v>26</v>
      </c>
      <c r="E122" s="3" t="n">
        <v>44911.1536111092</v>
      </c>
      <c r="F122" s="3" t="n">
        <v>45247.74</v>
      </c>
      <c r="G122" s="3">
        <f>F122-E122</f>
        <v/>
      </c>
      <c r="H122" s="3">
        <f>ABS(G122)</f>
        <v/>
      </c>
      <c r="I122" s="4">
        <f>IF(F122=0,"N/A",H122/ABS(F122))</f>
        <v/>
      </c>
    </row>
    <row r="123">
      <c r="A123" s="2" t="n">
        <v>1</v>
      </c>
      <c r="B123" s="2" t="n">
        <v>2</v>
      </c>
      <c r="C123" s="2" t="n">
        <v>1</v>
      </c>
      <c r="D123" s="2" t="n">
        <v>27</v>
      </c>
      <c r="E123" s="3" t="n">
        <v>44978.47088888736</v>
      </c>
      <c r="F123" s="3" t="n">
        <v>44623.23</v>
      </c>
      <c r="G123" s="3">
        <f>F123-E123</f>
        <v/>
      </c>
      <c r="H123" s="3">
        <f>ABS(G123)</f>
        <v/>
      </c>
      <c r="I123" s="4">
        <f>IF(F123=0,"N/A",H123/ABS(F123))</f>
        <v/>
      </c>
    </row>
    <row r="124">
      <c r="A124" s="2" t="n">
        <v>1</v>
      </c>
      <c r="B124" s="2" t="n">
        <v>2</v>
      </c>
      <c r="C124" s="2" t="n">
        <v>1</v>
      </c>
      <c r="D124" s="2" t="n">
        <v>28</v>
      </c>
      <c r="E124" s="3" t="n">
        <v>44907.4227111099</v>
      </c>
      <c r="F124" s="3" t="n">
        <v>43260.96</v>
      </c>
      <c r="G124" s="3">
        <f>F124-E124</f>
        <v/>
      </c>
      <c r="H124" s="3">
        <f>ABS(G124)</f>
        <v/>
      </c>
      <c r="I124" s="4">
        <f>IF(F124=0,"N/A",H124/ABS(F124))</f>
        <v/>
      </c>
    </row>
    <row r="125">
      <c r="A125" s="2" t="n">
        <v>1</v>
      </c>
      <c r="B125" s="2" t="n">
        <v>2</v>
      </c>
      <c r="C125" s="2" t="n">
        <v>1</v>
      </c>
      <c r="D125" s="2" t="n">
        <v>29</v>
      </c>
      <c r="E125" s="3" t="n">
        <v>44578.13016888792</v>
      </c>
      <c r="F125" s="3" t="n">
        <v>45113.56</v>
      </c>
      <c r="G125" s="3">
        <f>F125-E125</f>
        <v/>
      </c>
      <c r="H125" s="3">
        <f>ABS(G125)</f>
        <v/>
      </c>
      <c r="I125" s="4">
        <f>IF(F125=0,"N/A",H125/ABS(F125))</f>
        <v/>
      </c>
    </row>
    <row r="126">
      <c r="A126" s="2" t="n">
        <v>1</v>
      </c>
      <c r="B126" s="2" t="n">
        <v>2</v>
      </c>
      <c r="C126" s="2" t="n">
        <v>1</v>
      </c>
      <c r="D126" s="2" t="n">
        <v>30</v>
      </c>
      <c r="E126" s="3" t="n">
        <v>44685.21613511034</v>
      </c>
      <c r="F126" s="3" t="n">
        <v>43191.02</v>
      </c>
      <c r="G126" s="3">
        <f>F126-E126</f>
        <v/>
      </c>
      <c r="H126" s="3">
        <f>ABS(G126)</f>
        <v/>
      </c>
      <c r="I126" s="4">
        <f>IF(F126=0,"N/A",H126/ABS(F126))</f>
        <v/>
      </c>
    </row>
    <row r="127">
      <c r="A127" s="2" t="n">
        <v>1</v>
      </c>
      <c r="B127" s="2" t="n">
        <v>2</v>
      </c>
      <c r="C127" s="2" t="n">
        <v>1</v>
      </c>
      <c r="D127" s="2" t="n">
        <v>31</v>
      </c>
      <c r="E127" s="3" t="n">
        <v>44386.37690808827</v>
      </c>
      <c r="F127" s="3" t="n">
        <v>49359.75</v>
      </c>
      <c r="G127" s="3">
        <f>F127-E127</f>
        <v/>
      </c>
      <c r="H127" s="3">
        <f>ABS(G127)</f>
        <v/>
      </c>
      <c r="I127" s="4">
        <f>IF(F127=0,"N/A",H127/ABS(F127))</f>
        <v/>
      </c>
    </row>
    <row r="128">
      <c r="A128" s="2" t="n">
        <v>1</v>
      </c>
      <c r="B128" s="2" t="n">
        <v>2</v>
      </c>
      <c r="C128" s="2" t="n">
        <v>1</v>
      </c>
      <c r="D128" s="2" t="n">
        <v>32</v>
      </c>
      <c r="E128" s="3" t="n">
        <v>45381.05152647062</v>
      </c>
      <c r="F128" s="3" t="n">
        <v>45341.92</v>
      </c>
      <c r="G128" s="3">
        <f>F128-E128</f>
        <v/>
      </c>
      <c r="H128" s="3">
        <f>ABS(G128)</f>
        <v/>
      </c>
      <c r="I128" s="4">
        <f>IF(F128=0,"N/A",H128/ABS(F128))</f>
        <v/>
      </c>
    </row>
    <row r="129">
      <c r="A129" s="2" t="n">
        <v>1</v>
      </c>
      <c r="B129" s="2" t="n">
        <v>2</v>
      </c>
      <c r="C129" s="2" t="n">
        <v>1</v>
      </c>
      <c r="D129" s="2" t="n">
        <v>33</v>
      </c>
      <c r="E129" s="3" t="n">
        <v>45373.22522117649</v>
      </c>
      <c r="F129" s="3" t="n">
        <v>46391.12</v>
      </c>
      <c r="G129" s="3">
        <f>F129-E129</f>
        <v/>
      </c>
      <c r="H129" s="3">
        <f>ABS(G129)</f>
        <v/>
      </c>
      <c r="I129" s="4">
        <f>IF(F129=0,"N/A",H129/ABS(F129))</f>
        <v/>
      </c>
    </row>
    <row r="130">
      <c r="A130" s="2" t="n">
        <v>1</v>
      </c>
      <c r="B130" s="2" t="n">
        <v>2</v>
      </c>
      <c r="C130" s="2" t="n">
        <v>1</v>
      </c>
      <c r="D130" s="2" t="n">
        <v>34</v>
      </c>
      <c r="E130" s="3" t="n">
        <v>45576.8041769412</v>
      </c>
      <c r="F130" s="3" t="n">
        <v>47659.93</v>
      </c>
      <c r="G130" s="3">
        <f>F130-E130</f>
        <v/>
      </c>
      <c r="H130" s="3">
        <f>ABS(G130)</f>
        <v/>
      </c>
      <c r="I130" s="4">
        <f>IF(F130=0,"N/A",H130/ABS(F130))</f>
        <v/>
      </c>
    </row>
    <row r="131">
      <c r="A131" s="2" t="n">
        <v>1</v>
      </c>
      <c r="B131" s="2" t="n">
        <v>2</v>
      </c>
      <c r="C131" s="2" t="n">
        <v>1</v>
      </c>
      <c r="D131" s="2" t="n">
        <v>35</v>
      </c>
      <c r="E131" s="3" t="n">
        <v>45993.42934155297</v>
      </c>
      <c r="F131" s="3" t="n">
        <v>49419.75</v>
      </c>
      <c r="G131" s="3">
        <f>F131-E131</f>
        <v/>
      </c>
      <c r="H131" s="3">
        <f>ABS(G131)</f>
        <v/>
      </c>
      <c r="I131" s="4">
        <f>IF(F131=0,"N/A",H131/ABS(F131))</f>
        <v/>
      </c>
    </row>
    <row r="132">
      <c r="A132" s="2" t="n">
        <v>1</v>
      </c>
      <c r="B132" s="2" t="n">
        <v>2</v>
      </c>
      <c r="C132" s="2" t="n">
        <v>1</v>
      </c>
      <c r="D132" s="2" t="n">
        <v>36</v>
      </c>
      <c r="E132" s="3" t="n">
        <v>46678.69347324238</v>
      </c>
      <c r="F132" s="3" t="n">
        <v>43315.85</v>
      </c>
      <c r="G132" s="3">
        <f>F132-E132</f>
        <v/>
      </c>
      <c r="H132" s="3">
        <f>ABS(G132)</f>
        <v/>
      </c>
      <c r="I132" s="4">
        <f>IF(F132=0,"N/A",H132/ABS(F132))</f>
        <v/>
      </c>
    </row>
    <row r="133">
      <c r="A133" s="2" t="n">
        <v>1</v>
      </c>
      <c r="B133" s="2" t="n">
        <v>2</v>
      </c>
      <c r="C133" s="2" t="n">
        <v>1</v>
      </c>
      <c r="D133" s="2" t="n">
        <v>37</v>
      </c>
      <c r="E133" s="3" t="n">
        <v>46006.1247785939</v>
      </c>
      <c r="F133" s="3" t="n">
        <v>42963.96</v>
      </c>
      <c r="G133" s="3">
        <f>F133-E133</f>
        <v/>
      </c>
      <c r="H133" s="3">
        <f>ABS(G133)</f>
        <v/>
      </c>
      <c r="I133" s="4">
        <f>IF(F133=0,"N/A",H133/ABS(F133))</f>
        <v/>
      </c>
    </row>
    <row r="134">
      <c r="A134" s="2" t="n">
        <v>1</v>
      </c>
      <c r="B134" s="2" t="n">
        <v>2</v>
      </c>
      <c r="C134" s="2" t="n">
        <v>1</v>
      </c>
      <c r="D134" s="2" t="n">
        <v>38</v>
      </c>
      <c r="E134" s="3" t="n">
        <v>45397.69182287512</v>
      </c>
      <c r="F134" s="3" t="n">
        <v>43390.94</v>
      </c>
      <c r="G134" s="3">
        <f>F134-E134</f>
        <v/>
      </c>
      <c r="H134" s="3">
        <f>ABS(G134)</f>
        <v/>
      </c>
      <c r="I134" s="4">
        <f>IF(F134=0,"N/A",H134/ABS(F134))</f>
        <v/>
      </c>
    </row>
    <row r="135">
      <c r="A135" s="2" t="n">
        <v>1</v>
      </c>
      <c r="B135" s="2" t="n">
        <v>2</v>
      </c>
      <c r="C135" s="2" t="n">
        <v>1</v>
      </c>
      <c r="D135" s="2" t="n">
        <v>39</v>
      </c>
      <c r="E135" s="3" t="n">
        <v>44996.3414583001</v>
      </c>
      <c r="F135" s="3" t="n">
        <v>46045.09</v>
      </c>
      <c r="G135" s="3">
        <f>F135-E135</f>
        <v/>
      </c>
      <c r="H135" s="3">
        <f>ABS(G135)</f>
        <v/>
      </c>
      <c r="I135" s="4">
        <f>IF(F135=0,"N/A",H135/ABS(F135))</f>
        <v/>
      </c>
    </row>
    <row r="136">
      <c r="A136" s="2" t="n">
        <v>1</v>
      </c>
      <c r="B136" s="2" t="n">
        <v>2</v>
      </c>
      <c r="C136" s="2" t="n">
        <v>1</v>
      </c>
      <c r="D136" s="2" t="n">
        <v>40</v>
      </c>
      <c r="E136" s="3" t="n">
        <v>45206.09116664008</v>
      </c>
      <c r="F136" s="3" t="n">
        <v>49880.69</v>
      </c>
      <c r="G136" s="3">
        <f>F136-E136</f>
        <v/>
      </c>
      <c r="H136" s="3">
        <f>ABS(G136)</f>
        <v/>
      </c>
      <c r="I136" s="4">
        <f>IF(F136=0,"N/A",H136/ABS(F136))</f>
        <v/>
      </c>
    </row>
    <row r="137">
      <c r="A137" s="2" t="n">
        <v>1</v>
      </c>
      <c r="B137" s="2" t="n">
        <v>2</v>
      </c>
      <c r="C137" s="2" t="n">
        <v>1</v>
      </c>
      <c r="D137" s="2" t="n">
        <v>41</v>
      </c>
      <c r="E137" s="3" t="n">
        <v>46141.01093331206</v>
      </c>
      <c r="F137" s="3" t="n">
        <v>43306.38</v>
      </c>
      <c r="G137" s="3">
        <f>F137-E137</f>
        <v/>
      </c>
      <c r="H137" s="3">
        <f>ABS(G137)</f>
        <v/>
      </c>
      <c r="I137" s="4">
        <f>IF(F137=0,"N/A",H137/ABS(F137))</f>
        <v/>
      </c>
    </row>
    <row r="138">
      <c r="A138" s="2" t="n">
        <v>1</v>
      </c>
      <c r="B138" s="2" t="n">
        <v>2</v>
      </c>
      <c r="C138" s="2" t="n">
        <v>1</v>
      </c>
      <c r="D138" s="2" t="n">
        <v>42</v>
      </c>
      <c r="E138" s="3" t="n">
        <v>45574.08474664965</v>
      </c>
      <c r="F138" s="3" t="n">
        <v>42487.67</v>
      </c>
      <c r="G138" s="3">
        <f>F138-E138</f>
        <v/>
      </c>
      <c r="H138" s="3">
        <f>ABS(G138)</f>
        <v/>
      </c>
      <c r="I138" s="4">
        <f>IF(F138=0,"N/A",H138/ABS(F138))</f>
        <v/>
      </c>
    </row>
    <row r="139">
      <c r="A139" s="2" t="n">
        <v>1</v>
      </c>
      <c r="B139" s="2" t="n">
        <v>2</v>
      </c>
      <c r="C139" s="2" t="n">
        <v>1</v>
      </c>
      <c r="D139" s="2" t="n">
        <v>43</v>
      </c>
      <c r="E139" s="3" t="n">
        <v>44956.80179731972</v>
      </c>
      <c r="F139" s="3" t="n">
        <v>41682.4</v>
      </c>
      <c r="G139" s="3">
        <f>F139-E139</f>
        <v/>
      </c>
      <c r="H139" s="3">
        <f>ABS(G139)</f>
        <v/>
      </c>
      <c r="I139" s="4">
        <f>IF(F139=0,"N/A",H139/ABS(F139))</f>
        <v/>
      </c>
    </row>
    <row r="140">
      <c r="A140" s="2" t="n">
        <v>1</v>
      </c>
      <c r="B140" s="2" t="n">
        <v>2</v>
      </c>
      <c r="C140" s="2" t="n">
        <v>1</v>
      </c>
      <c r="D140" s="2" t="n">
        <v>44</v>
      </c>
      <c r="E140" s="3" t="n">
        <v>44301.92143785578</v>
      </c>
      <c r="F140" s="3" t="n">
        <v>47313.62</v>
      </c>
      <c r="G140" s="3">
        <f>F140-E140</f>
        <v/>
      </c>
      <c r="H140" s="3">
        <f>ABS(G140)</f>
        <v/>
      </c>
      <c r="I140" s="4">
        <f>IF(F140=0,"N/A",H140/ABS(F140))</f>
        <v/>
      </c>
    </row>
    <row r="141">
      <c r="A141" s="2" t="n">
        <v>1</v>
      </c>
      <c r="B141" s="2" t="n">
        <v>2</v>
      </c>
      <c r="C141" s="2" t="n">
        <v>1</v>
      </c>
      <c r="D141" s="2" t="n">
        <v>45</v>
      </c>
      <c r="E141" s="3" t="n">
        <v>44904.26115028463</v>
      </c>
      <c r="F141" s="3" t="n">
        <v>44936.47</v>
      </c>
      <c r="G141" s="3">
        <f>F141-E141</f>
        <v/>
      </c>
      <c r="H141" s="3">
        <f>ABS(G141)</f>
        <v/>
      </c>
      <c r="I141" s="4">
        <f>IF(F141=0,"N/A",H141/ABS(F141))</f>
        <v/>
      </c>
    </row>
    <row r="142">
      <c r="A142" s="2" t="n">
        <v>1</v>
      </c>
      <c r="B142" s="2" t="n">
        <v>2</v>
      </c>
      <c r="C142" s="2" t="n">
        <v>1</v>
      </c>
      <c r="D142" s="2" t="n">
        <v>46</v>
      </c>
      <c r="E142" s="3" t="n">
        <v>44910.7029202277</v>
      </c>
      <c r="F142" s="3" t="n">
        <v>43997.78</v>
      </c>
      <c r="G142" s="3">
        <f>F142-E142</f>
        <v/>
      </c>
      <c r="H142" s="3">
        <f>ABS(G142)</f>
        <v/>
      </c>
      <c r="I142" s="4">
        <f>IF(F142=0,"N/A",H142/ABS(F142))</f>
        <v/>
      </c>
    </row>
    <row r="143">
      <c r="A143" s="2" t="n">
        <v>1</v>
      </c>
      <c r="B143" s="2" t="n">
        <v>2</v>
      </c>
      <c r="C143" s="2" t="n">
        <v>1</v>
      </c>
      <c r="D143" s="2" t="n">
        <v>47</v>
      </c>
      <c r="E143" s="3" t="n">
        <v>44728.11833618216</v>
      </c>
      <c r="F143" s="3" t="n">
        <v>44259.59</v>
      </c>
      <c r="G143" s="3">
        <f>F143-E143</f>
        <v/>
      </c>
      <c r="H143" s="3">
        <f>ABS(G143)</f>
        <v/>
      </c>
      <c r="I143" s="4">
        <f>IF(F143=0,"N/A",H143/ABS(F143))</f>
        <v/>
      </c>
    </row>
    <row r="144">
      <c r="A144" s="2" t="n">
        <v>1</v>
      </c>
      <c r="B144" s="2" t="n">
        <v>2</v>
      </c>
      <c r="C144" s="2" t="n">
        <v>1</v>
      </c>
      <c r="D144" s="2" t="n">
        <v>48</v>
      </c>
      <c r="E144" s="3" t="n">
        <v>44634.41266894573</v>
      </c>
      <c r="F144" s="3" t="n">
        <v>45928.14</v>
      </c>
      <c r="G144" s="3">
        <f>F144-E144</f>
        <v/>
      </c>
      <c r="H144" s="3">
        <f>ABS(G144)</f>
        <v/>
      </c>
      <c r="I144" s="4">
        <f>IF(F144=0,"N/A",H144/ABS(F144))</f>
        <v/>
      </c>
    </row>
    <row r="145">
      <c r="A145" s="2" t="n">
        <v>1</v>
      </c>
      <c r="B145" s="2" t="n">
        <v>2</v>
      </c>
      <c r="C145" s="2" t="n">
        <v>1</v>
      </c>
      <c r="D145" s="2" t="n">
        <v>49</v>
      </c>
      <c r="E145" s="3" t="n">
        <v>44893.15813515658</v>
      </c>
      <c r="F145" s="3" t="n">
        <v>49357.43</v>
      </c>
      <c r="G145" s="3">
        <f>F145-E145</f>
        <v/>
      </c>
      <c r="H145" s="3">
        <f>ABS(G145)</f>
        <v/>
      </c>
      <c r="I145" s="4">
        <f>IF(F145=0,"N/A",H145/ABS(F145))</f>
        <v/>
      </c>
    </row>
    <row r="146">
      <c r="A146" s="2" t="n">
        <v>1</v>
      </c>
      <c r="B146" s="2" t="n">
        <v>2</v>
      </c>
      <c r="C146" s="2" t="n">
        <v>1</v>
      </c>
      <c r="D146" s="2" t="n">
        <v>50</v>
      </c>
      <c r="E146" s="3" t="n">
        <v>45786.01250812526</v>
      </c>
      <c r="F146" s="3" t="n">
        <v>51137.42</v>
      </c>
      <c r="G146" s="3">
        <f>F146-E146</f>
        <v/>
      </c>
      <c r="H146" s="3">
        <f>ABS(G146)</f>
        <v/>
      </c>
      <c r="I146" s="4">
        <f>IF(F146=0,"N/A",H146/ABS(F146))</f>
        <v/>
      </c>
    </row>
    <row r="147">
      <c r="A147" s="2" t="n">
        <v>1</v>
      </c>
      <c r="B147" s="2" t="n">
        <v>2</v>
      </c>
      <c r="C147" s="2" t="n">
        <v>1</v>
      </c>
      <c r="D147" s="2" t="n">
        <v>51</v>
      </c>
      <c r="E147" s="3" t="n">
        <v>46856.29400650022</v>
      </c>
      <c r="F147" s="3" t="n">
        <v>65615.36</v>
      </c>
      <c r="G147" s="3">
        <f>F147-E147</f>
        <v/>
      </c>
      <c r="H147" s="3">
        <f>ABS(G147)</f>
        <v/>
      </c>
      <c r="I147" s="4">
        <f>IF(F147=0,"N/A",H147/ABS(F147))</f>
        <v/>
      </c>
    </row>
    <row r="148">
      <c r="A148" s="2" t="n">
        <v>1</v>
      </c>
      <c r="B148" s="2" t="n">
        <v>2</v>
      </c>
      <c r="C148" s="2" t="n">
        <v>1</v>
      </c>
      <c r="D148" s="2" t="n">
        <v>52</v>
      </c>
      <c r="E148" s="3" t="n">
        <v>50608.10720520018</v>
      </c>
      <c r="F148" s="3" t="n">
        <v>43539.94</v>
      </c>
      <c r="G148" s="3">
        <f>F148-E148</f>
        <v/>
      </c>
      <c r="H148" s="3">
        <f>ABS(G148)</f>
        <v/>
      </c>
      <c r="I148" s="4">
        <f>IF(F148=0,"N/A",H148/ABS(F148))</f>
        <v/>
      </c>
    </row>
    <row r="149">
      <c r="A149" s="2" t="n">
        <v>1</v>
      </c>
      <c r="B149" s="2" t="n">
        <v>2</v>
      </c>
      <c r="C149" s="2" t="n">
        <v>2</v>
      </c>
      <c r="D149" s="2" t="n">
        <v>1</v>
      </c>
      <c r="E149" s="3" t="n">
        <v>49194.47376416014</v>
      </c>
      <c r="F149" s="3" t="n">
        <v>44481.38</v>
      </c>
      <c r="G149" s="3">
        <f>F149-E149</f>
        <v/>
      </c>
      <c r="H149" s="3">
        <f>ABS(G149)</f>
        <v/>
      </c>
      <c r="I149" s="4">
        <f>IF(F149=0,"N/A",H149/ABS(F149))</f>
        <v/>
      </c>
    </row>
    <row r="150">
      <c r="A150" s="2" t="n">
        <v>1</v>
      </c>
      <c r="B150" s="2" t="n">
        <v>2</v>
      </c>
      <c r="C150" s="2" t="n">
        <v>2</v>
      </c>
      <c r="D150" s="2" t="n">
        <v>2</v>
      </c>
      <c r="E150" s="3" t="n">
        <v>48251.85501132811</v>
      </c>
      <c r="F150" s="3" t="n">
        <v>43353.09</v>
      </c>
      <c r="G150" s="3">
        <f>F150-E150</f>
        <v/>
      </c>
      <c r="H150" s="3">
        <f>ABS(G150)</f>
        <v/>
      </c>
      <c r="I150" s="4">
        <f>IF(F150=0,"N/A",H150/ABS(F150))</f>
        <v/>
      </c>
    </row>
    <row r="151">
      <c r="A151" s="2" t="n">
        <v>1</v>
      </c>
      <c r="B151" s="2" t="n">
        <v>2</v>
      </c>
      <c r="C151" s="2" t="n">
        <v>2</v>
      </c>
      <c r="D151" s="2" t="n">
        <v>3</v>
      </c>
      <c r="E151" s="3" t="n">
        <v>47272.10200906249</v>
      </c>
      <c r="F151" s="3" t="n">
        <v>43753.43</v>
      </c>
      <c r="G151" s="3">
        <f>F151-E151</f>
        <v/>
      </c>
      <c r="H151" s="3">
        <f>ABS(G151)</f>
        <v/>
      </c>
      <c r="I151" s="4">
        <f>IF(F151=0,"N/A",H151/ABS(F151))</f>
        <v/>
      </c>
    </row>
    <row r="152">
      <c r="A152" s="2" t="n">
        <v>1</v>
      </c>
      <c r="B152" s="2" t="n">
        <v>2</v>
      </c>
      <c r="C152" s="2" t="n">
        <v>2</v>
      </c>
      <c r="D152" s="2" t="n">
        <v>4</v>
      </c>
      <c r="E152" s="3" t="n">
        <v>46568.36760724999</v>
      </c>
      <c r="F152" s="3" t="n">
        <v>41556.23</v>
      </c>
      <c r="G152" s="3">
        <f>F152-E152</f>
        <v/>
      </c>
      <c r="H152" s="3">
        <f>ABS(G152)</f>
        <v/>
      </c>
      <c r="I152" s="4">
        <f>IF(F152=0,"N/A",H152/ABS(F152))</f>
        <v/>
      </c>
    </row>
    <row r="153">
      <c r="A153" s="2" t="n">
        <v>1</v>
      </c>
      <c r="B153" s="2" t="n">
        <v>2</v>
      </c>
      <c r="C153" s="2" t="n">
        <v>2</v>
      </c>
      <c r="D153" s="2" t="n">
        <v>5</v>
      </c>
      <c r="E153" s="3" t="n">
        <v>45565.94008579999</v>
      </c>
      <c r="F153" s="3" t="n">
        <v>54322.24</v>
      </c>
      <c r="G153" s="3">
        <f>F153-E153</f>
        <v/>
      </c>
      <c r="H153" s="3">
        <f>ABS(G153)</f>
        <v/>
      </c>
      <c r="I153" s="4">
        <f>IF(F153=0,"N/A",H153/ABS(F153))</f>
        <v/>
      </c>
    </row>
    <row r="154">
      <c r="A154" s="2" t="n">
        <v>1</v>
      </c>
      <c r="B154" s="2" t="n">
        <v>2</v>
      </c>
      <c r="C154" s="2" t="n">
        <v>2</v>
      </c>
      <c r="D154" s="2" t="n">
        <v>6</v>
      </c>
      <c r="E154" s="3" t="n">
        <v>47317.20006864</v>
      </c>
      <c r="F154" s="3" t="n">
        <v>50581.06</v>
      </c>
      <c r="G154" s="3">
        <f>F154-E154</f>
        <v/>
      </c>
      <c r="H154" s="3">
        <f>ABS(G154)</f>
        <v/>
      </c>
      <c r="I154" s="4">
        <f>IF(F154=0,"N/A",H154/ABS(F154))</f>
        <v/>
      </c>
    </row>
    <row r="155">
      <c r="A155" s="2" t="n">
        <v>1</v>
      </c>
      <c r="B155" s="2" t="n">
        <v>2</v>
      </c>
      <c r="C155" s="2" t="n">
        <v>2</v>
      </c>
      <c r="D155" s="2" t="n">
        <v>7</v>
      </c>
      <c r="E155" s="3" t="n">
        <v>47969.972054912</v>
      </c>
      <c r="F155" s="3" t="n">
        <v>46085.47</v>
      </c>
      <c r="G155" s="3">
        <f>F155-E155</f>
        <v/>
      </c>
      <c r="H155" s="3">
        <f>ABS(G155)</f>
        <v/>
      </c>
      <c r="I155" s="4">
        <f>IF(F155=0,"N/A",H155/ABS(F155))</f>
        <v/>
      </c>
    </row>
    <row r="156">
      <c r="A156" s="2" t="n">
        <v>1</v>
      </c>
      <c r="B156" s="2" t="n">
        <v>2</v>
      </c>
      <c r="C156" s="2" t="n">
        <v>2</v>
      </c>
      <c r="D156" s="2" t="n">
        <v>8</v>
      </c>
      <c r="E156" s="3" t="n">
        <v>47593.07164392961</v>
      </c>
      <c r="F156" s="3" t="n">
        <v>47080.12</v>
      </c>
      <c r="G156" s="3">
        <f>F156-E156</f>
        <v/>
      </c>
      <c r="H156" s="3">
        <f>ABS(G156)</f>
        <v/>
      </c>
      <c r="I156" s="4">
        <f>IF(F156=0,"N/A",H156/ABS(F156))</f>
        <v/>
      </c>
    </row>
    <row r="157">
      <c r="A157" s="2" t="n">
        <v>1</v>
      </c>
      <c r="B157" s="2" t="n">
        <v>2</v>
      </c>
      <c r="C157" s="2" t="n">
        <v>2</v>
      </c>
      <c r="D157" s="2" t="n">
        <v>9</v>
      </c>
      <c r="E157" s="3" t="n">
        <v>47490.48131514368</v>
      </c>
      <c r="F157" s="3" t="n">
        <v>52608.51</v>
      </c>
      <c r="G157" s="3">
        <f>F157-E157</f>
        <v/>
      </c>
      <c r="H157" s="3">
        <f>ABS(G157)</f>
        <v/>
      </c>
      <c r="I157" s="4">
        <f>IF(F157=0,"N/A",H157/ABS(F157))</f>
        <v/>
      </c>
    </row>
    <row r="158">
      <c r="A158" s="2" t="n">
        <v>1</v>
      </c>
      <c r="B158" s="2" t="n">
        <v>2</v>
      </c>
      <c r="C158" s="2" t="n">
        <v>2</v>
      </c>
      <c r="D158" s="2" t="n">
        <v>10</v>
      </c>
      <c r="E158" s="3" t="n">
        <v>48514.08705211495</v>
      </c>
      <c r="F158" s="3" t="n">
        <v>48563.69</v>
      </c>
      <c r="G158" s="3">
        <f>F158-E158</f>
        <v/>
      </c>
      <c r="H158" s="3">
        <f>ABS(G158)</f>
        <v/>
      </c>
      <c r="I158" s="4">
        <f>IF(F158=0,"N/A",H158/ABS(F158))</f>
        <v/>
      </c>
    </row>
    <row r="159">
      <c r="A159" s="2" t="n">
        <v>1</v>
      </c>
      <c r="B159" s="2" t="n">
        <v>2</v>
      </c>
      <c r="C159" s="2" t="n">
        <v>2</v>
      </c>
      <c r="D159" s="2" t="n">
        <v>11</v>
      </c>
      <c r="E159" s="3" t="n">
        <v>48524.00764169196</v>
      </c>
      <c r="F159" s="3" t="n">
        <v>47346.32</v>
      </c>
      <c r="G159" s="3">
        <f>F159-E159</f>
        <v/>
      </c>
      <c r="H159" s="3">
        <f>ABS(G159)</f>
        <v/>
      </c>
      <c r="I159" s="4">
        <f>IF(F159=0,"N/A",H159/ABS(F159))</f>
        <v/>
      </c>
    </row>
    <row r="160">
      <c r="A160" s="2" t="n">
        <v>1</v>
      </c>
      <c r="B160" s="2" t="n">
        <v>2</v>
      </c>
      <c r="C160" s="2" t="n">
        <v>2</v>
      </c>
      <c r="D160" s="2" t="n">
        <v>12</v>
      </c>
      <c r="E160" s="3" t="n">
        <v>48288.47011335357</v>
      </c>
      <c r="F160" s="3" t="n">
        <v>44796.03</v>
      </c>
      <c r="G160" s="3">
        <f>F160-E160</f>
        <v/>
      </c>
      <c r="H160" s="3">
        <f>ABS(G160)</f>
        <v/>
      </c>
      <c r="I160" s="4">
        <f>IF(F160=0,"N/A",H160/ABS(F160))</f>
        <v/>
      </c>
    </row>
    <row r="161">
      <c r="A161" s="2" t="n">
        <v>1</v>
      </c>
      <c r="B161" s="2" t="n">
        <v>2</v>
      </c>
      <c r="C161" s="2" t="n">
        <v>2</v>
      </c>
      <c r="D161" s="2" t="n">
        <v>13</v>
      </c>
      <c r="E161" s="3" t="n">
        <v>47589.98209068285</v>
      </c>
      <c r="F161" s="3" t="n">
        <v>46529.68</v>
      </c>
      <c r="G161" s="3">
        <f>F161-E161</f>
        <v/>
      </c>
      <c r="H161" s="3">
        <f>ABS(G161)</f>
        <v/>
      </c>
      <c r="I161" s="4">
        <f>IF(F161=0,"N/A",H161/ABS(F161))</f>
        <v/>
      </c>
    </row>
    <row r="162">
      <c r="A162" s="2" t="n">
        <v>1</v>
      </c>
      <c r="B162" s="2" t="n">
        <v>2</v>
      </c>
      <c r="C162" s="2" t="n">
        <v>2</v>
      </c>
      <c r="D162" s="2" t="n">
        <v>14</v>
      </c>
      <c r="E162" s="3" t="n">
        <v>47377.92167254628</v>
      </c>
      <c r="F162" s="3" t="n">
        <v>51805.88</v>
      </c>
      <c r="G162" s="3">
        <f>F162-E162</f>
        <v/>
      </c>
      <c r="H162" s="3">
        <f>ABS(G162)</f>
        <v/>
      </c>
      <c r="I162" s="4">
        <f>IF(F162=0,"N/A",H162/ABS(F162))</f>
        <v/>
      </c>
    </row>
    <row r="163">
      <c r="A163" s="2" t="n">
        <v>1</v>
      </c>
      <c r="B163" s="2" t="n">
        <v>2</v>
      </c>
      <c r="C163" s="2" t="n">
        <v>2</v>
      </c>
      <c r="D163" s="2" t="n">
        <v>15</v>
      </c>
      <c r="E163" s="3" t="n">
        <v>48263.51333803702</v>
      </c>
      <c r="F163" s="3" t="n">
        <v>43991.18</v>
      </c>
      <c r="G163" s="3">
        <f>F163-E163</f>
        <v/>
      </c>
      <c r="H163" s="3">
        <f>ABS(G163)</f>
        <v/>
      </c>
      <c r="I163" s="4">
        <f>IF(F163=0,"N/A",H163/ABS(F163))</f>
        <v/>
      </c>
    </row>
    <row r="164">
      <c r="A164" s="2" t="n">
        <v>1</v>
      </c>
      <c r="B164" s="2" t="n">
        <v>2</v>
      </c>
      <c r="C164" s="2" t="n">
        <v>2</v>
      </c>
      <c r="D164" s="2" t="n">
        <v>16</v>
      </c>
      <c r="E164" s="3" t="n">
        <v>47409.04667042963</v>
      </c>
      <c r="F164" s="3" t="n">
        <v>45561.85</v>
      </c>
      <c r="G164" s="3">
        <f>F164-E164</f>
        <v/>
      </c>
      <c r="H164" s="3">
        <f>ABS(G164)</f>
        <v/>
      </c>
      <c r="I164" s="4">
        <f>IF(F164=0,"N/A",H164/ABS(F164))</f>
        <v/>
      </c>
    </row>
    <row r="165">
      <c r="A165" s="2" t="n">
        <v>1</v>
      </c>
      <c r="B165" s="2" t="n">
        <v>2</v>
      </c>
      <c r="C165" s="2" t="n">
        <v>2</v>
      </c>
      <c r="D165" s="2" t="n">
        <v>17</v>
      </c>
      <c r="E165" s="3" t="n">
        <v>47039.6073363437</v>
      </c>
      <c r="F165" s="3" t="n">
        <v>45456.23</v>
      </c>
      <c r="G165" s="3">
        <f>F165-E165</f>
        <v/>
      </c>
      <c r="H165" s="3">
        <f>ABS(G165)</f>
        <v/>
      </c>
      <c r="I165" s="4">
        <f>IF(F165=0,"N/A",H165/ABS(F165))</f>
        <v/>
      </c>
    </row>
    <row r="166">
      <c r="A166" s="2" t="n">
        <v>1</v>
      </c>
      <c r="B166" s="2" t="n">
        <v>2</v>
      </c>
      <c r="C166" s="2" t="n">
        <v>2</v>
      </c>
      <c r="D166" s="2" t="n">
        <v>18</v>
      </c>
      <c r="E166" s="3" t="n">
        <v>46722.93186907496</v>
      </c>
      <c r="F166" s="3" t="n">
        <v>50501.3</v>
      </c>
      <c r="G166" s="3">
        <f>F166-E166</f>
        <v/>
      </c>
      <c r="H166" s="3">
        <f>ABS(G166)</f>
        <v/>
      </c>
      <c r="I166" s="4">
        <f>IF(F166=0,"N/A",H166/ABS(F166))</f>
        <v/>
      </c>
    </row>
    <row r="167">
      <c r="A167" s="2" t="n">
        <v>1</v>
      </c>
      <c r="B167" s="2" t="n">
        <v>2</v>
      </c>
      <c r="C167" s="2" t="n">
        <v>2</v>
      </c>
      <c r="D167" s="2" t="n">
        <v>19</v>
      </c>
      <c r="E167" s="3" t="n">
        <v>47478.60549525997</v>
      </c>
      <c r="F167" s="3" t="n">
        <v>46717.76</v>
      </c>
      <c r="G167" s="3">
        <f>F167-E167</f>
        <v/>
      </c>
      <c r="H167" s="3">
        <f>ABS(G167)</f>
        <v/>
      </c>
      <c r="I167" s="4">
        <f>IF(F167=0,"N/A",H167/ABS(F167))</f>
        <v/>
      </c>
    </row>
    <row r="168">
      <c r="A168" s="2" t="n">
        <v>1</v>
      </c>
      <c r="B168" s="2" t="n">
        <v>2</v>
      </c>
      <c r="C168" s="2" t="n">
        <v>2</v>
      </c>
      <c r="D168" s="2" t="n">
        <v>20</v>
      </c>
      <c r="E168" s="3" t="n">
        <v>47326.43639620798</v>
      </c>
      <c r="F168" s="3" t="n">
        <v>44411.23</v>
      </c>
      <c r="G168" s="3">
        <f>F168-E168</f>
        <v/>
      </c>
      <c r="H168" s="3">
        <f>ABS(G168)</f>
        <v/>
      </c>
      <c r="I168" s="4">
        <f>IF(F168=0,"N/A",H168/ABS(F168))</f>
        <v/>
      </c>
    </row>
    <row r="169">
      <c r="A169" s="2" t="n">
        <v>1</v>
      </c>
      <c r="B169" s="2" t="n">
        <v>2</v>
      </c>
      <c r="C169" s="2" t="n">
        <v>2</v>
      </c>
      <c r="D169" s="2" t="n">
        <v>21</v>
      </c>
      <c r="E169" s="3" t="n">
        <v>46743.39511696639</v>
      </c>
      <c r="F169" s="3" t="n">
        <v>45817.07</v>
      </c>
      <c r="G169" s="3">
        <f>F169-E169</f>
        <v/>
      </c>
      <c r="H169" s="3">
        <f>ABS(G169)</f>
        <v/>
      </c>
      <c r="I169" s="4">
        <f>IF(F169=0,"N/A",H169/ABS(F169))</f>
        <v/>
      </c>
    </row>
    <row r="170">
      <c r="A170" s="2" t="n">
        <v>1</v>
      </c>
      <c r="B170" s="2" t="n">
        <v>2</v>
      </c>
      <c r="C170" s="2" t="n">
        <v>2</v>
      </c>
      <c r="D170" s="2" t="n">
        <v>22</v>
      </c>
      <c r="E170" s="3" t="n">
        <v>46558.13009357311</v>
      </c>
      <c r="F170" s="3" t="n">
        <v>47425.29</v>
      </c>
      <c r="G170" s="3">
        <f>F170-E170</f>
        <v/>
      </c>
      <c r="H170" s="3">
        <f>ABS(G170)</f>
        <v/>
      </c>
      <c r="I170" s="4">
        <f>IF(F170=0,"N/A",H170/ABS(F170))</f>
        <v/>
      </c>
    </row>
    <row r="171">
      <c r="A171" s="2" t="n">
        <v>1</v>
      </c>
      <c r="B171" s="2" t="n">
        <v>2</v>
      </c>
      <c r="C171" s="2" t="n">
        <v>2</v>
      </c>
      <c r="D171" s="2" t="n">
        <v>23</v>
      </c>
      <c r="E171" s="3" t="n">
        <v>46731.56207485849</v>
      </c>
      <c r="F171" s="3" t="n">
        <v>49439.58</v>
      </c>
      <c r="G171" s="3">
        <f>F171-E171</f>
        <v/>
      </c>
      <c r="H171" s="3">
        <f>ABS(G171)</f>
        <v/>
      </c>
      <c r="I171" s="4">
        <f>IF(F171=0,"N/A",H171/ABS(F171))</f>
        <v/>
      </c>
    </row>
    <row r="172">
      <c r="A172" s="2" t="n">
        <v>1</v>
      </c>
      <c r="B172" s="2" t="n">
        <v>2</v>
      </c>
      <c r="C172" s="2" t="n">
        <v>2</v>
      </c>
      <c r="D172" s="2" t="n">
        <v>24</v>
      </c>
      <c r="E172" s="3" t="n">
        <v>47273.1656598868</v>
      </c>
      <c r="F172" s="3" t="n">
        <v>46637.48</v>
      </c>
      <c r="G172" s="3">
        <f>F172-E172</f>
        <v/>
      </c>
      <c r="H172" s="3">
        <f>ABS(G172)</f>
        <v/>
      </c>
      <c r="I172" s="4">
        <f>IF(F172=0,"N/A",H172/ABS(F172))</f>
        <v/>
      </c>
    </row>
    <row r="173">
      <c r="A173" s="2" t="n">
        <v>1</v>
      </c>
      <c r="B173" s="2" t="n">
        <v>2</v>
      </c>
      <c r="C173" s="2" t="n">
        <v>2</v>
      </c>
      <c r="D173" s="2" t="n">
        <v>25</v>
      </c>
      <c r="E173" s="3" t="n">
        <v>47146.02852790944</v>
      </c>
      <c r="F173" s="3" t="n">
        <v>46075</v>
      </c>
      <c r="G173" s="3">
        <f>F173-E173</f>
        <v/>
      </c>
      <c r="H173" s="3">
        <f>ABS(G173)</f>
        <v/>
      </c>
      <c r="I173" s="4">
        <f>IF(F173=0,"N/A",H173/ABS(F173))</f>
        <v/>
      </c>
    </row>
    <row r="174">
      <c r="A174" s="2" t="n">
        <v>1</v>
      </c>
      <c r="B174" s="2" t="n">
        <v>2</v>
      </c>
      <c r="C174" s="2" t="n">
        <v>2</v>
      </c>
      <c r="D174" s="2" t="n">
        <v>26</v>
      </c>
      <c r="E174" s="3" t="n">
        <v>46931.82282232755</v>
      </c>
      <c r="F174" s="3" t="n">
        <v>47629.14</v>
      </c>
      <c r="G174" s="3">
        <f>F174-E174</f>
        <v/>
      </c>
      <c r="H174" s="3">
        <f>ABS(G174)</f>
        <v/>
      </c>
      <c r="I174" s="4">
        <f>IF(F174=0,"N/A",H174/ABS(F174))</f>
        <v/>
      </c>
    </row>
    <row r="175">
      <c r="A175" s="2" t="n">
        <v>1</v>
      </c>
      <c r="B175" s="2" t="n">
        <v>2</v>
      </c>
      <c r="C175" s="2" t="n">
        <v>2</v>
      </c>
      <c r="D175" s="2" t="n">
        <v>27</v>
      </c>
      <c r="E175" s="3" t="n">
        <v>47071.28625786204</v>
      </c>
      <c r="F175" s="3" t="n">
        <v>49771.92</v>
      </c>
      <c r="G175" s="3">
        <f>F175-E175</f>
        <v/>
      </c>
      <c r="H175" s="3">
        <f>ABS(G175)</f>
        <v/>
      </c>
      <c r="I175" s="4">
        <f>IF(F175=0,"N/A",H175/ABS(F175))</f>
        <v/>
      </c>
    </row>
    <row r="176">
      <c r="A176" s="2" t="n">
        <v>1</v>
      </c>
      <c r="B176" s="2" t="n">
        <v>2</v>
      </c>
      <c r="C176" s="2" t="n">
        <v>2</v>
      </c>
      <c r="D176" s="2" t="n">
        <v>28</v>
      </c>
      <c r="E176" s="3" t="n">
        <v>47611.41300628963</v>
      </c>
      <c r="F176" s="3" t="n">
        <v>44411.95</v>
      </c>
      <c r="G176" s="3">
        <f>F176-E176</f>
        <v/>
      </c>
      <c r="H176" s="3">
        <f>ABS(G176)</f>
        <v/>
      </c>
      <c r="I176" s="4">
        <f>IF(F176=0,"N/A",H176/ABS(F176))</f>
        <v/>
      </c>
    </row>
    <row r="177">
      <c r="A177" s="2" t="n">
        <v>1</v>
      </c>
      <c r="B177" s="2" t="n">
        <v>2</v>
      </c>
      <c r="C177" s="2" t="n">
        <v>2</v>
      </c>
      <c r="D177" s="2" t="n">
        <v>29</v>
      </c>
      <c r="E177" s="3" t="n">
        <v>46971.5204050317</v>
      </c>
      <c r="F177" s="3" t="n">
        <v>45108.22</v>
      </c>
      <c r="G177" s="3">
        <f>F177-E177</f>
        <v/>
      </c>
      <c r="H177" s="3">
        <f>ABS(G177)</f>
        <v/>
      </c>
      <c r="I177" s="4">
        <f>IF(F177=0,"N/A",H177/ABS(F177))</f>
        <v/>
      </c>
    </row>
    <row r="178">
      <c r="A178" s="2" t="n">
        <v>1</v>
      </c>
      <c r="B178" s="2" t="n">
        <v>2</v>
      </c>
      <c r="C178" s="2" t="n">
        <v>2</v>
      </c>
      <c r="D178" s="2" t="n">
        <v>30</v>
      </c>
      <c r="E178" s="3" t="n">
        <v>46598.86032402537</v>
      </c>
      <c r="F178" s="3" t="n">
        <v>45008.22</v>
      </c>
      <c r="G178" s="3">
        <f>F178-E178</f>
        <v/>
      </c>
      <c r="H178" s="3">
        <f>ABS(G178)</f>
        <v/>
      </c>
      <c r="I178" s="4">
        <f>IF(F178=0,"N/A",H178/ABS(F178))</f>
        <v/>
      </c>
    </row>
    <row r="179">
      <c r="A179" s="2" t="n">
        <v>1</v>
      </c>
      <c r="B179" s="2" t="n">
        <v>2</v>
      </c>
      <c r="C179" s="2" t="n">
        <v>2</v>
      </c>
      <c r="D179" s="2" t="n">
        <v>31</v>
      </c>
      <c r="E179" s="3" t="n">
        <v>46280.73225922029</v>
      </c>
      <c r="F179" s="3" t="n">
        <v>49424.06</v>
      </c>
      <c r="G179" s="3">
        <f>F179-E179</f>
        <v/>
      </c>
      <c r="H179" s="3">
        <f>ABS(G179)</f>
        <v/>
      </c>
      <c r="I179" s="4">
        <f>IF(F179=0,"N/A",H179/ABS(F179))</f>
        <v/>
      </c>
    </row>
    <row r="180">
      <c r="A180" s="2" t="n">
        <v>1</v>
      </c>
      <c r="B180" s="2" t="n">
        <v>2</v>
      </c>
      <c r="C180" s="2" t="n">
        <v>2</v>
      </c>
      <c r="D180" s="2" t="n">
        <v>32</v>
      </c>
      <c r="E180" s="3" t="n">
        <v>46909.39780737623</v>
      </c>
      <c r="F180" s="3" t="n">
        <v>46729.91</v>
      </c>
      <c r="G180" s="3">
        <f>F180-E180</f>
        <v/>
      </c>
      <c r="H180" s="3">
        <f>ABS(G180)</f>
        <v/>
      </c>
      <c r="I180" s="4">
        <f>IF(F180=0,"N/A",H180/ABS(F180))</f>
        <v/>
      </c>
    </row>
    <row r="181">
      <c r="A181" s="2" t="n">
        <v>1</v>
      </c>
      <c r="B181" s="2" t="n">
        <v>2</v>
      </c>
      <c r="C181" s="2" t="n">
        <v>2</v>
      </c>
      <c r="D181" s="2" t="n">
        <v>33</v>
      </c>
      <c r="E181" s="3" t="n">
        <v>46873.50024590099</v>
      </c>
      <c r="F181" s="3" t="n">
        <v>46350.97</v>
      </c>
      <c r="G181" s="3">
        <f>F181-E181</f>
        <v/>
      </c>
      <c r="H181" s="3">
        <f>ABS(G181)</f>
        <v/>
      </c>
      <c r="I181" s="4">
        <f>IF(F181=0,"N/A",H181/ABS(F181))</f>
        <v/>
      </c>
    </row>
    <row r="182">
      <c r="A182" s="2" t="n">
        <v>1</v>
      </c>
      <c r="B182" s="2" t="n">
        <v>2</v>
      </c>
      <c r="C182" s="2" t="n">
        <v>2</v>
      </c>
      <c r="D182" s="2" t="n">
        <v>34</v>
      </c>
      <c r="E182" s="3" t="n">
        <v>46768.9941967208</v>
      </c>
      <c r="F182" s="3" t="n">
        <v>44972.52</v>
      </c>
      <c r="G182" s="3">
        <f>F182-E182</f>
        <v/>
      </c>
      <c r="H182" s="3">
        <f>ABS(G182)</f>
        <v/>
      </c>
      <c r="I182" s="4">
        <f>IF(F182=0,"N/A",H182/ABS(F182))</f>
        <v/>
      </c>
    </row>
    <row r="183">
      <c r="A183" s="2" t="n">
        <v>1</v>
      </c>
      <c r="B183" s="2" t="n">
        <v>2</v>
      </c>
      <c r="C183" s="2" t="n">
        <v>2</v>
      </c>
      <c r="D183" s="2" t="n">
        <v>35</v>
      </c>
      <c r="E183" s="3" t="n">
        <v>46409.69935737664</v>
      </c>
      <c r="F183" s="3" t="n">
        <v>50995.5</v>
      </c>
      <c r="G183" s="3">
        <f>F183-E183</f>
        <v/>
      </c>
      <c r="H183" s="3">
        <f>ABS(G183)</f>
        <v/>
      </c>
      <c r="I183" s="4">
        <f>IF(F183=0,"N/A",H183/ABS(F183))</f>
        <v/>
      </c>
    </row>
    <row r="184">
      <c r="A184" s="2" t="n">
        <v>1</v>
      </c>
      <c r="B184" s="2" t="n">
        <v>2</v>
      </c>
      <c r="C184" s="2" t="n">
        <v>2</v>
      </c>
      <c r="D184" s="2" t="n">
        <v>36</v>
      </c>
      <c r="E184" s="3" t="n">
        <v>47326.85948590132</v>
      </c>
      <c r="F184" s="3" t="n">
        <v>47344.5</v>
      </c>
      <c r="G184" s="3">
        <f>F184-E184</f>
        <v/>
      </c>
      <c r="H184" s="3">
        <f>ABS(G184)</f>
        <v/>
      </c>
      <c r="I184" s="4">
        <f>IF(F184=0,"N/A",H184/ABS(F184))</f>
        <v/>
      </c>
    </row>
    <row r="185">
      <c r="A185" s="2" t="n">
        <v>1</v>
      </c>
      <c r="B185" s="2" t="n">
        <v>2</v>
      </c>
      <c r="C185" s="2" t="n">
        <v>2</v>
      </c>
      <c r="D185" s="2" t="n">
        <v>37</v>
      </c>
      <c r="E185" s="3" t="n">
        <v>47330.38758872106</v>
      </c>
      <c r="F185" s="3" t="n">
        <v>44493.61</v>
      </c>
      <c r="G185" s="3">
        <f>F185-E185</f>
        <v/>
      </c>
      <c r="H185" s="3">
        <f>ABS(G185)</f>
        <v/>
      </c>
      <c r="I185" s="4">
        <f>IF(F185=0,"N/A",H185/ABS(F185))</f>
        <v/>
      </c>
    </row>
    <row r="186">
      <c r="A186" s="2" t="n">
        <v>1</v>
      </c>
      <c r="B186" s="2" t="n">
        <v>2</v>
      </c>
      <c r="C186" s="2" t="n">
        <v>2</v>
      </c>
      <c r="D186" s="2" t="n">
        <v>38</v>
      </c>
      <c r="E186" s="3" t="n">
        <v>46763.03207097685</v>
      </c>
      <c r="F186" s="3" t="n">
        <v>43541.07</v>
      </c>
      <c r="G186" s="3">
        <f>F186-E186</f>
        <v/>
      </c>
      <c r="H186" s="3">
        <f>ABS(G186)</f>
        <v/>
      </c>
      <c r="I186" s="4">
        <f>IF(F186=0,"N/A",H186/ABS(F186))</f>
        <v/>
      </c>
    </row>
    <row r="187">
      <c r="A187" s="2" t="n">
        <v>1</v>
      </c>
      <c r="B187" s="2" t="n">
        <v>2</v>
      </c>
      <c r="C187" s="2" t="n">
        <v>2</v>
      </c>
      <c r="D187" s="2" t="n">
        <v>39</v>
      </c>
      <c r="E187" s="3" t="n">
        <v>46118.63965678148</v>
      </c>
      <c r="F187" s="3" t="n">
        <v>45784.76</v>
      </c>
      <c r="G187" s="3">
        <f>F187-E187</f>
        <v/>
      </c>
      <c r="H187" s="3">
        <f>ABS(G187)</f>
        <v/>
      </c>
      <c r="I187" s="4">
        <f>IF(F187=0,"N/A",H187/ABS(F187))</f>
        <v/>
      </c>
    </row>
    <row r="188">
      <c r="A188" s="2" t="n">
        <v>1</v>
      </c>
      <c r="B188" s="2" t="n">
        <v>2</v>
      </c>
      <c r="C188" s="2" t="n">
        <v>2</v>
      </c>
      <c r="D188" s="2" t="n">
        <v>40</v>
      </c>
      <c r="E188" s="3" t="n">
        <v>46051.86372542518</v>
      </c>
      <c r="F188" s="3" t="n">
        <v>48577.08</v>
      </c>
      <c r="G188" s="3">
        <f>F188-E188</f>
        <v/>
      </c>
      <c r="H188" s="3">
        <f>ABS(G188)</f>
        <v/>
      </c>
      <c r="I188" s="4">
        <f>IF(F188=0,"N/A",H188/ABS(F188))</f>
        <v/>
      </c>
    </row>
    <row r="189">
      <c r="A189" s="2" t="n">
        <v>1</v>
      </c>
      <c r="B189" s="2" t="n">
        <v>2</v>
      </c>
      <c r="C189" s="2" t="n">
        <v>2</v>
      </c>
      <c r="D189" s="2" t="n">
        <v>41</v>
      </c>
      <c r="E189" s="3" t="n">
        <v>46556.90698034015</v>
      </c>
      <c r="F189" s="3" t="n">
        <v>42112.67</v>
      </c>
      <c r="G189" s="3">
        <f>F189-E189</f>
        <v/>
      </c>
      <c r="H189" s="3">
        <f>ABS(G189)</f>
        <v/>
      </c>
      <c r="I189" s="4">
        <f>IF(F189=0,"N/A",H189/ABS(F189))</f>
        <v/>
      </c>
    </row>
    <row r="190">
      <c r="A190" s="2" t="n">
        <v>1</v>
      </c>
      <c r="B190" s="2" t="n">
        <v>2</v>
      </c>
      <c r="C190" s="2" t="n">
        <v>2</v>
      </c>
      <c r="D190" s="2" t="n">
        <v>42</v>
      </c>
      <c r="E190" s="3" t="n">
        <v>45668.05958427212</v>
      </c>
      <c r="F190" s="3" t="n">
        <v>42354.72</v>
      </c>
      <c r="G190" s="3">
        <f>F190-E190</f>
        <v/>
      </c>
      <c r="H190" s="3">
        <f>ABS(G190)</f>
        <v/>
      </c>
      <c r="I190" s="4">
        <f>IF(F190=0,"N/A",H190/ABS(F190))</f>
        <v/>
      </c>
    </row>
    <row r="191">
      <c r="A191" s="2" t="n">
        <v>1</v>
      </c>
      <c r="B191" s="2" t="n">
        <v>2</v>
      </c>
      <c r="C191" s="2" t="n">
        <v>2</v>
      </c>
      <c r="D191" s="2" t="n">
        <v>43</v>
      </c>
      <c r="E191" s="3" t="n">
        <v>45005.3916674177</v>
      </c>
      <c r="F191" s="3" t="n">
        <v>43134.88</v>
      </c>
      <c r="G191" s="3">
        <f>F191-E191</f>
        <v/>
      </c>
      <c r="H191" s="3">
        <f>ABS(G191)</f>
        <v/>
      </c>
      <c r="I191" s="4">
        <f>IF(F191=0,"N/A",H191/ABS(F191))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2026-03-29T17:25:23Z</dcterms:created>
  <dcterms:modified xsi:type="dcterms:W3CDTF">2026-03-29T17:25:23Z</dcterms:modified>
</cp:coreProperties>
</file>